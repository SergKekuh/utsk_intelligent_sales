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858" activeTab="1"/>
  </bookViews>
  <sheets>
    <sheet name="Карта н. для ц." sheetId="1" r:id="rId1"/>
    <sheet name="Карта настройки" sheetId="2" r:id="rId2"/>
    <sheet name="1,273 - Коэфициент" sheetId="3" r:id="rId3"/>
    <sheet name="Коэф" sheetId="4" r:id="rId4"/>
    <sheet name="Осн.таблица" sheetId="5" r:id="rId5"/>
    <sheet name="ВНИТИ" sheetId="6" r:id="rId6"/>
    <sheet name="Расчётные данные" sheetId="7" r:id="rId7"/>
    <sheet name="Данные ВГ" sheetId="8" r:id="rId8"/>
    <sheet name="Данные ВВ" sheetId="9" r:id="rId9"/>
    <sheet name="Лист1" sheetId="10" r:id="rId10"/>
    <sheet name="Наст. эксц." sheetId="11" r:id="rId11"/>
  </sheets>
  <definedNames>
    <definedName name="_xlnm._FilterDatabase" localSheetId="7" hidden="1">'Данные ВГ'!$A$1:$J$37</definedName>
    <definedName name="DD">'Данные ВВ'!$A$1:$H$58</definedName>
    <definedName name="В">'Данные ВВ'!$B$3:$B$58</definedName>
    <definedName name="ВВ">'Данные ВВ'!$B$3:$B$58</definedName>
    <definedName name="Дт">'Наст. эксц.'!$N$5:$N$50</definedName>
    <definedName name="_xlnm.Print_Area" localSheetId="5">ВНИТИ!$B$4:$S$51</definedName>
    <definedName name="_xlnm.Print_Area" localSheetId="8">'Данные ВВ'!$A$1:$H$58</definedName>
    <definedName name="_xlnm.Print_Area" localSheetId="7">'Данные ВГ'!$A$1:$O$37</definedName>
    <definedName name="_xlnm.Print_Area" localSheetId="6">'Расчётные данные'!$B$22:$H$42</definedName>
    <definedName name="УПС.09.УВ2_105" localSheetId="8">'Карта настройки'!$Q$17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X8" authorId="0">
      <text>
        <r>
          <rPr>
            <b/>
            <sz val="8"/>
            <rFont val="Tahoma"/>
            <charset val="204"/>
          </rPr>
          <t>Список (перечень существующих) диаметров заготовок</t>
        </r>
      </text>
    </comment>
    <comment ref="K12" authorId="0">
      <text>
        <r>
          <rPr>
            <b/>
            <sz val="8"/>
            <rFont val="Tahoma"/>
            <charset val="204"/>
          </rPr>
          <t>Расчитывается карта настройки по данному радиусу закругления только после выбора диаметра заготовки из списка</t>
        </r>
      </text>
    </comment>
    <comment ref="V16" authorId="0">
      <text>
        <r>
          <rPr>
            <b/>
            <sz val="8"/>
            <rFont val="Tahoma"/>
            <charset val="204"/>
          </rPr>
          <t>Максимальная ширина профиля при введённом диаметре вертикального валка</t>
        </r>
        <r>
          <rPr>
            <sz val="8"/>
            <rFont val="Tahoma"/>
            <charset val="204"/>
          </rPr>
          <t xml:space="preserve">
</t>
        </r>
      </text>
    </comment>
    <comment ref="W16" authorId="0">
      <text>
        <r>
          <rPr>
            <b/>
            <sz val="8"/>
            <rFont val="Tahoma"/>
            <charset val="204"/>
          </rPr>
          <t>Минимальная ширина профиля при введённом диаметре вертикального валка</t>
        </r>
        <r>
          <rPr>
            <sz val="8"/>
            <rFont val="Tahoma"/>
            <charset val="204"/>
          </rPr>
          <t xml:space="preserve">
</t>
        </r>
      </text>
    </comment>
    <comment ref="Z16" authorId="0">
      <text>
        <r>
          <rPr>
            <b/>
            <sz val="8"/>
            <rFont val="Tahoma"/>
            <charset val="204"/>
          </rPr>
          <t>Зазор между ребордами горизонтального валка</t>
        </r>
      </text>
    </comment>
    <comment ref="G17" authorId="0">
      <text>
        <r>
          <rPr>
            <b/>
            <sz val="8"/>
            <rFont val="Tahoma"/>
            <charset val="204"/>
          </rPr>
          <t>Вводные значения характеристик горизонтальных валков</t>
        </r>
        <r>
          <rPr>
            <sz val="8"/>
            <rFont val="Tahoma"/>
            <charset val="204"/>
          </rPr>
          <t xml:space="preserve">
</t>
        </r>
      </text>
    </comment>
    <comment ref="T17" authorId="0">
      <text>
        <r>
          <rPr>
            <b/>
            <sz val="8"/>
            <rFont val="Tahoma"/>
            <charset val="204"/>
          </rPr>
          <t>Если используется старая касета без наборных прокладок то введите значение С</t>
        </r>
        <r>
          <rPr>
            <sz val="8"/>
            <rFont val="Tahoma"/>
            <charset val="204"/>
          </rPr>
          <t xml:space="preserve">
</t>
        </r>
      </text>
    </comment>
    <comment ref="Y21" authorId="0">
      <text>
        <r>
          <rPr>
            <b/>
            <sz val="8"/>
            <rFont val="Tahoma"/>
            <charset val="204"/>
          </rPr>
          <t>Если в пятой клети отсутствует радиус калибра ставиться значение не менее 1000000</t>
        </r>
      </text>
    </comment>
    <comment ref="J22" authorId="0">
      <text>
        <r>
          <rPr>
            <b/>
            <sz val="8"/>
            <rFont val="Tahoma"/>
            <charset val="204"/>
          </rPr>
          <t>Для 6 клети постоянная</t>
        </r>
      </text>
    </comment>
    <comment ref="Y22" authorId="0">
      <text>
        <r>
          <rPr>
            <b/>
            <sz val="8"/>
            <rFont val="Tahoma"/>
            <charset val="204"/>
          </rPr>
          <t>Для 6 клети постоянная</t>
        </r>
      </text>
    </comment>
    <comment ref="I23" authorId="0">
      <text>
        <r>
          <rPr>
            <b/>
            <sz val="8"/>
            <rFont val="Tahoma"/>
            <charset val="204"/>
          </rPr>
          <t>Площадь поперечного сечения</t>
        </r>
        <r>
          <rPr>
            <sz val="8"/>
            <rFont val="Tahoma"/>
            <charset val="204"/>
          </rPr>
          <t xml:space="preserve">
</t>
        </r>
      </text>
    </comment>
    <comment ref="J23" authorId="0">
      <text>
        <r>
          <rPr>
            <b/>
            <sz val="8"/>
            <rFont val="Tahoma"/>
            <charset val="204"/>
          </rPr>
          <t>Масса одного погонного метра трубы</t>
        </r>
        <r>
          <rPr>
            <sz val="8"/>
            <rFont val="Tahoma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XP GAME 2008</author>
    <author>Gena</author>
  </authors>
  <commentList>
    <comment ref="E1" authorId="0">
      <text>
        <r>
          <rPr>
            <b/>
            <sz val="8"/>
            <rFont val="Tahoma"/>
            <charset val="204"/>
          </rPr>
          <t>Перекос клети</t>
        </r>
      </text>
    </comment>
    <comment ref="G1" authorId="0">
      <text>
        <r>
          <rPr>
            <b/>
            <sz val="8"/>
            <rFont val="Tahoma"/>
            <charset val="204"/>
          </rPr>
          <t>Перекос клети</t>
        </r>
      </text>
    </comment>
    <comment ref="I1" authorId="0">
      <text>
        <r>
          <rPr>
            <b/>
            <sz val="8"/>
            <rFont val="Tahoma"/>
            <charset val="204"/>
          </rPr>
          <t>Перекос клети.</t>
        </r>
        <r>
          <rPr>
            <sz val="8"/>
            <rFont val="Tahoma"/>
            <charset val="204"/>
          </rPr>
          <t xml:space="preserve">
</t>
        </r>
      </text>
    </comment>
    <comment ref="B3" authorId="1">
      <text>
        <r>
          <rPr>
            <b/>
            <sz val="9"/>
            <rFont val="Tahoma"/>
            <charset val="204"/>
          </rPr>
          <t>Обжитие</t>
        </r>
      </text>
    </comment>
    <comment ref="C3" authorId="1">
      <text>
        <r>
          <rPr>
            <b/>
            <sz val="9"/>
            <rFont val="Tahoma"/>
            <charset val="204"/>
          </rPr>
          <t>Диаметр заготовки</t>
        </r>
      </text>
    </comment>
    <comment ref="B4" authorId="1">
      <text>
        <r>
          <rPr>
            <b/>
            <sz val="9"/>
            <rFont val="Tahoma"/>
            <charset val="204"/>
          </rPr>
          <t>Зазор между ребордами валка</t>
        </r>
      </text>
    </comment>
    <comment ref="C4" authorId="0">
      <text>
        <r>
          <rPr>
            <b/>
            <sz val="8"/>
            <rFont val="Tahoma"/>
            <charset val="204"/>
          </rPr>
          <t>Периметр трубной заготовки</t>
        </r>
      </text>
    </comment>
    <comment ref="A5" authorId="2">
      <text>
        <r>
          <rPr>
            <b/>
            <sz val="8"/>
            <rFont val="Tahoma"/>
            <charset val="204"/>
          </rPr>
          <t>Введите ширину профиля</t>
        </r>
      </text>
    </comment>
    <comment ref="B5" authorId="1">
      <text>
        <r>
          <rPr>
            <b/>
            <sz val="9"/>
            <rFont val="Tahoma"/>
            <charset val="204"/>
          </rPr>
          <t>Высота профиля</t>
        </r>
      </text>
    </comment>
    <comment ref="A6" authorId="2">
      <text>
        <r>
          <rPr>
            <b/>
            <sz val="8"/>
            <rFont val="Tahoma"/>
            <charset val="204"/>
          </rPr>
          <t>Введите высоту профиля</t>
        </r>
      </text>
    </comment>
    <comment ref="B6" authorId="1">
      <text>
        <r>
          <rPr>
            <b/>
            <sz val="9"/>
            <rFont val="Tahoma"/>
            <charset val="204"/>
          </rPr>
          <t>Радиус профиля</t>
        </r>
      </text>
    </comment>
    <comment ref="C6" authorId="1">
      <text>
        <r>
          <rPr>
            <b/>
            <sz val="9"/>
            <rFont val="Tahoma"/>
            <charset val="204"/>
          </rPr>
          <t>Радиус закрузления профильной трубы на выходе из стана</t>
        </r>
      </text>
    </comment>
    <comment ref="A7" authorId="2">
      <text>
        <r>
          <rPr>
            <b/>
            <sz val="8"/>
            <rFont val="Tahoma"/>
            <charset val="204"/>
          </rPr>
          <t>Средний квадрат</t>
        </r>
      </text>
    </comment>
    <comment ref="B7" authorId="1">
      <text>
        <r>
          <rPr>
            <b/>
            <sz val="9"/>
            <rFont val="Tahoma"/>
            <charset val="204"/>
          </rPr>
          <t>углубление профиля</t>
        </r>
      </text>
    </comment>
    <comment ref="C7" authorId="1">
      <text>
        <r>
          <rPr>
            <b/>
            <sz val="9"/>
            <rFont val="Tahoma"/>
            <charset val="204"/>
          </rPr>
          <t>Рассчётный радиус закругления</t>
        </r>
      </text>
    </comment>
    <comment ref="B8" authorId="0">
      <text>
        <r>
          <rPr>
            <b/>
            <sz val="8"/>
            <rFont val="Tahoma"/>
            <charset val="204"/>
          </rPr>
          <t>Диаметр валка Г по дну калибра</t>
        </r>
      </text>
    </comment>
    <comment ref="C8" authorId="0">
      <text>
        <r>
          <rPr>
            <b/>
            <sz val="8"/>
            <rFont val="Tahoma"/>
            <charset val="204"/>
          </rPr>
          <t>Расчёт радиуса закругления по кооэфициенту</t>
        </r>
        <r>
          <rPr>
            <sz val="8"/>
            <rFont val="Tahoma"/>
            <charset val="204"/>
          </rPr>
          <t xml:space="preserve">
</t>
        </r>
      </text>
    </comment>
    <comment ref="A9" authorId="0">
      <text>
        <r>
          <rPr>
            <b/>
            <sz val="8"/>
            <rFont val="Tahoma"/>
            <charset val="204"/>
          </rPr>
          <t>Ширина кассеты в 1 блоке</t>
        </r>
        <r>
          <rPr>
            <sz val="8"/>
            <rFont val="Tahoma"/>
            <charset val="204"/>
          </rPr>
          <t xml:space="preserve">
</t>
        </r>
      </text>
    </comment>
    <comment ref="B9" authorId="0">
      <text>
        <r>
          <rPr>
            <b/>
            <sz val="8"/>
            <rFont val="Tahoma"/>
            <charset val="204"/>
          </rPr>
          <t>Диаметр валка Г по ребордам калибра</t>
        </r>
        <r>
          <rPr>
            <sz val="8"/>
            <rFont val="Tahoma"/>
            <charset val="204"/>
          </rPr>
          <t xml:space="preserve">
</t>
        </r>
      </text>
    </comment>
    <comment ref="C9" authorId="1">
      <text>
        <r>
          <rPr>
            <b/>
            <sz val="9"/>
            <rFont val="Tahoma"/>
            <charset val="204"/>
          </rPr>
          <t>Вписаный радиус</t>
        </r>
      </text>
    </comment>
    <comment ref="A10" authorId="0">
      <text>
        <r>
          <rPr>
            <b/>
            <sz val="8"/>
            <rFont val="Tahoma"/>
            <charset val="204"/>
          </rPr>
          <t>Ширина кассеты в 2 блоке</t>
        </r>
        <r>
          <rPr>
            <sz val="8"/>
            <rFont val="Tahoma"/>
            <charset val="204"/>
          </rPr>
          <t xml:space="preserve">
</t>
        </r>
      </text>
    </comment>
    <comment ref="B10" authorId="0">
      <text>
        <r>
          <rPr>
            <b/>
            <sz val="8"/>
            <rFont val="Tahoma"/>
            <charset val="204"/>
          </rPr>
          <t>Ширина горизонтального валка по клетям</t>
        </r>
        <r>
          <rPr>
            <sz val="8"/>
            <rFont val="Tahoma"/>
            <charset val="204"/>
          </rPr>
          <t xml:space="preserve">
</t>
        </r>
      </text>
    </comment>
    <comment ref="C10" authorId="1">
      <text>
        <r>
          <rPr>
            <b/>
            <sz val="9"/>
            <rFont val="Tahoma"/>
            <charset val="204"/>
          </rPr>
          <t>Длина для листа</t>
        </r>
      </text>
    </comment>
    <comment ref="A11" authorId="0">
      <text>
        <r>
          <rPr>
            <b/>
            <sz val="8"/>
            <rFont val="Tahoma"/>
            <charset val="204"/>
          </rPr>
          <t>Ширина кассеты в 3 блоке</t>
        </r>
      </text>
    </comment>
    <comment ref="D11" authorId="0">
      <text>
        <r>
          <rPr>
            <b/>
            <sz val="8"/>
            <rFont val="Tahoma"/>
            <charset val="204"/>
          </rPr>
          <t>Постоянная с таблицы настроки оси проката на кассете размером 270</t>
        </r>
      </text>
    </comment>
    <comment ref="D12" authorId="0">
      <text>
        <r>
          <rPr>
            <b/>
            <sz val="8"/>
            <rFont val="Tahoma"/>
            <charset val="204"/>
          </rPr>
          <t>Кассета 270 + две толщины рамы (40+40)</t>
        </r>
        <r>
          <rPr>
            <sz val="8"/>
            <rFont val="Tahoma"/>
            <charset val="204"/>
          </rPr>
          <t xml:space="preserve">
</t>
        </r>
      </text>
    </comment>
    <comment ref="A13" authorId="2">
      <text>
        <r>
          <rPr>
            <b/>
            <sz val="8"/>
            <rFont val="Tahoma"/>
            <charset val="204"/>
          </rPr>
          <t>Ширина вертикального валка 2кл</t>
        </r>
      </text>
    </comment>
    <comment ref="B13" authorId="1">
      <text>
        <r>
          <rPr>
            <b/>
            <sz val="9"/>
            <rFont val="Tahoma"/>
            <charset val="204"/>
          </rPr>
          <t>Межосевое растояние Г.в.</t>
        </r>
      </text>
    </comment>
    <comment ref="C13" authorId="1">
      <text>
        <r>
          <rPr>
            <b/>
            <sz val="10"/>
            <rFont val="Tahoma"/>
            <charset val="204"/>
          </rPr>
          <t>r</t>
        </r>
        <r>
          <rPr>
            <b/>
            <sz val="8"/>
            <rFont val="Tahoma"/>
            <charset val="204"/>
          </rPr>
          <t>n</t>
        </r>
        <r>
          <rPr>
            <b/>
            <sz val="10"/>
            <rFont val="Tahoma"/>
            <charset val="204"/>
          </rPr>
          <t>/S</t>
        </r>
        <r>
          <rPr>
            <sz val="9"/>
            <rFont val="Tahoma"/>
            <charset val="204"/>
          </rPr>
          <t xml:space="preserve">
</t>
        </r>
      </text>
    </comment>
    <comment ref="B14" authorId="1">
      <text>
        <r>
          <rPr>
            <b/>
            <sz val="9"/>
            <rFont val="Tahoma"/>
            <charset val="204"/>
          </rPr>
          <t>Обжатие</t>
        </r>
      </text>
    </comment>
    <comment ref="C14" authorId="1">
      <text>
        <r>
          <rPr>
            <b/>
            <sz val="10"/>
            <rFont val="Tahoma"/>
            <charset val="204"/>
          </rPr>
          <t>r</t>
        </r>
        <r>
          <rPr>
            <b/>
            <sz val="8"/>
            <rFont val="Tahoma"/>
            <charset val="204"/>
          </rPr>
          <t>n(расч)</t>
        </r>
        <r>
          <rPr>
            <b/>
            <sz val="10"/>
            <rFont val="Tahoma"/>
            <charset val="204"/>
          </rPr>
          <t>/S</t>
        </r>
        <r>
          <rPr>
            <sz val="9"/>
            <rFont val="Tahoma"/>
            <charset val="204"/>
          </rPr>
          <t xml:space="preserve">
</t>
        </r>
      </text>
    </comment>
    <comment ref="B15" authorId="1">
      <text>
        <r>
          <rPr>
            <b/>
            <sz val="9"/>
            <rFont val="Tahoma"/>
            <charset val="204"/>
          </rPr>
          <t>Ширина профиля</t>
        </r>
      </text>
    </comment>
    <comment ref="J15" authorId="0">
      <text>
        <r>
          <rPr>
            <b/>
            <sz val="8"/>
            <rFont val="Tahoma"/>
            <charset val="204"/>
          </rPr>
          <t>Ширина профильной трубы после прокатки</t>
        </r>
        <r>
          <rPr>
            <sz val="8"/>
            <rFont val="Tahoma"/>
            <charset val="204"/>
          </rPr>
          <t xml:space="preserve">
</t>
        </r>
      </text>
    </comment>
    <comment ref="B16" authorId="1">
      <text>
        <r>
          <rPr>
            <b/>
            <sz val="9"/>
            <rFont val="Tahoma"/>
            <charset val="204"/>
          </rPr>
          <t>Радиус профиля</t>
        </r>
      </text>
    </comment>
    <comment ref="B17" authorId="1">
      <text>
        <r>
          <rPr>
            <b/>
            <sz val="9"/>
            <rFont val="Tahoma"/>
            <charset val="204"/>
          </rPr>
          <t>Углубление профиля В.в.</t>
        </r>
      </text>
    </comment>
    <comment ref="C17" authorId="0">
      <text>
        <r>
          <rPr>
            <b/>
            <sz val="8"/>
            <rFont val="Tahoma"/>
            <charset val="204"/>
          </rPr>
          <t>Коэф.расчёта радиуса закругления</t>
        </r>
        <r>
          <rPr>
            <sz val="8"/>
            <rFont val="Tahoma"/>
            <charset val="204"/>
          </rPr>
          <t xml:space="preserve">
</t>
        </r>
      </text>
    </comment>
    <comment ref="A19" authorId="0">
      <text>
        <r>
          <rPr>
            <b/>
            <sz val="8"/>
            <rFont val="Tahoma"/>
            <charset val="204"/>
          </rPr>
          <t>Толщина стенки</t>
        </r>
        <r>
          <rPr>
            <sz val="8"/>
            <rFont val="Tahoma"/>
            <charset val="204"/>
          </rPr>
          <t xml:space="preserve">
</t>
        </r>
      </text>
    </comment>
    <comment ref="C19" authorId="0">
      <text>
        <r>
          <rPr>
            <b/>
            <sz val="8"/>
            <rFont val="Tahoma"/>
            <charset val="204"/>
          </rPr>
          <t>Радиус заготовки</t>
        </r>
      </text>
    </comment>
    <comment ref="B20" authorId="1">
      <text>
        <r>
          <rPr>
            <b/>
            <sz val="9"/>
            <rFont val="Tahoma"/>
            <charset val="204"/>
          </rPr>
          <t>Межосевое растояние В.в.</t>
        </r>
      </text>
    </comment>
    <comment ref="B21" authorId="0">
      <text>
        <r>
          <rPr>
            <b/>
            <sz val="8"/>
            <rFont val="Tahoma"/>
            <charset val="204"/>
          </rPr>
          <t>Радиус закругления</t>
        </r>
      </text>
    </comment>
    <comment ref="C22" authorId="0">
      <text>
        <r>
          <rPr>
            <b/>
            <sz val="8"/>
            <rFont val="Tahoma"/>
            <charset val="204"/>
          </rPr>
          <t>Нулевая высота Оси прокатки</t>
        </r>
        <r>
          <rPr>
            <sz val="8"/>
            <rFont val="Tahoma"/>
            <charset val="204"/>
          </rPr>
          <t xml:space="preserve">
</t>
        </r>
      </text>
    </comment>
    <comment ref="C23" authorId="0">
      <text>
        <r>
          <rPr>
            <b/>
            <sz val="8"/>
            <rFont val="Tahoma"/>
            <charset val="204"/>
          </rPr>
          <t>Настройка оси прокатки по выстоте профиля:</t>
        </r>
        <r>
          <rPr>
            <sz val="8"/>
            <rFont val="Tahoma"/>
            <charset val="204"/>
          </rPr>
          <t xml:space="preserve">
</t>
        </r>
      </text>
    </comment>
    <comment ref="B25" authorId="0">
      <text>
        <r>
          <rPr>
            <b/>
            <sz val="8"/>
            <rFont val="Tahoma"/>
            <charset val="204"/>
          </rPr>
          <t>Периметр по клетям</t>
        </r>
      </text>
    </comment>
    <comment ref="B26" authorId="0">
      <text>
        <r>
          <rPr>
            <b/>
            <sz val="8"/>
            <rFont val="Tahoma"/>
            <charset val="204"/>
          </rPr>
          <t>Периметр заготовки в каждой клети</t>
        </r>
        <r>
          <rPr>
            <sz val="8"/>
            <rFont val="Tahoma"/>
            <charset val="204"/>
          </rPr>
          <t xml:space="preserve">
</t>
        </r>
      </text>
    </comment>
    <comment ref="B27" authorId="0">
      <text>
        <r>
          <rPr>
            <b/>
            <sz val="8"/>
            <rFont val="Tahoma"/>
            <charset val="204"/>
          </rPr>
          <t>Периметр радиуса</t>
        </r>
        <r>
          <rPr>
            <sz val="8"/>
            <rFont val="Tahoma"/>
            <charset val="204"/>
          </rPr>
          <t xml:space="preserve">
</t>
        </r>
      </text>
    </comment>
    <comment ref="B28" authorId="0">
      <text>
        <r>
          <rPr>
            <b/>
            <sz val="8"/>
            <rFont val="Tahoma"/>
            <charset val="204"/>
          </rPr>
          <t>Периметр дуги горизонтального калибра</t>
        </r>
        <r>
          <rPr>
            <sz val="8"/>
            <rFont val="Tahoma"/>
            <charset val="204"/>
          </rPr>
          <t xml:space="preserve">
</t>
        </r>
      </text>
    </comment>
    <comment ref="J28" authorId="0">
      <text>
        <r>
          <rPr>
            <b/>
            <sz val="8"/>
            <rFont val="Tahoma"/>
            <charset val="204"/>
          </rPr>
          <t>Контрольное значение ширины профильной прокатки в зависимости от суммы длины очага деформации и радиуса закругления</t>
        </r>
        <r>
          <rPr>
            <sz val="8"/>
            <rFont val="Tahoma"/>
            <charset val="204"/>
          </rPr>
          <t xml:space="preserve">
</t>
        </r>
      </text>
    </comment>
    <comment ref="B29" authorId="0">
      <text>
        <r>
          <rPr>
            <b/>
            <sz val="8"/>
            <rFont val="Tahoma"/>
            <charset val="204"/>
          </rPr>
          <t>Катающий диаметр</t>
        </r>
      </text>
    </comment>
    <comment ref="B30" authorId="0">
      <text>
        <r>
          <rPr>
            <b/>
            <sz val="8"/>
            <rFont val="Tahoma"/>
            <charset val="204"/>
          </rPr>
          <t>Коэффициент скорости в каждой клети</t>
        </r>
      </text>
    </comment>
    <comment ref="B31" authorId="0">
      <text>
        <r>
          <rPr>
            <b/>
            <sz val="8"/>
            <rFont val="Tahoma"/>
            <charset val="204"/>
          </rPr>
          <t xml:space="preserve">Наборка на кассету
</t>
        </r>
      </text>
    </comment>
    <comment ref="B32" authorId="0">
      <text>
        <r>
          <rPr>
            <b/>
            <sz val="8"/>
            <rFont val="Tahoma"/>
            <charset val="204"/>
          </rPr>
          <t>То - база для падушки</t>
        </r>
        <r>
          <rPr>
            <sz val="8"/>
            <rFont val="Tahoma"/>
            <charset val="204"/>
          </rPr>
          <t xml:space="preserve">
</t>
        </r>
      </text>
    </comment>
    <comment ref="B33" authorId="0">
      <text>
        <r>
          <rPr>
            <b/>
            <sz val="8"/>
            <rFont val="Tahoma"/>
            <charset val="204"/>
          </rPr>
          <t>Дистанционные втулки</t>
        </r>
        <r>
          <rPr>
            <sz val="8"/>
            <rFont val="Tahoma"/>
            <charset val="204"/>
          </rPr>
          <t xml:space="preserve">
</t>
        </r>
      </text>
    </comment>
    <comment ref="B34" authorId="0">
      <text>
        <r>
          <rPr>
            <b/>
            <sz val="8"/>
            <rFont val="Tahoma"/>
            <charset val="204"/>
          </rPr>
          <t>Длина очага деформации</t>
        </r>
        <r>
          <rPr>
            <sz val="8"/>
            <rFont val="Tahoma"/>
            <charset val="204"/>
          </rPr>
          <t xml:space="preserve">
</t>
        </r>
      </text>
    </comment>
    <comment ref="B35" authorId="0">
      <text>
        <r>
          <rPr>
            <b/>
            <sz val="8"/>
            <rFont val="Tahoma"/>
            <charset val="204"/>
          </rPr>
          <t>Предел прочности до прокатки после прокатки и по клетям</t>
        </r>
        <r>
          <rPr>
            <sz val="8"/>
            <rFont val="Tahoma"/>
            <charset val="204"/>
          </rPr>
          <t xml:space="preserve">
</t>
        </r>
      </text>
    </comment>
    <comment ref="C35" authorId="0">
      <text>
        <r>
          <rPr>
            <b/>
            <sz val="8"/>
            <rFont val="Tahoma"/>
            <charset val="204"/>
          </rPr>
          <t>Предел прочности до прокатки
Ст 20 - 45кг/мм2
09Г2С - 68кг/мм2</t>
        </r>
        <r>
          <rPr>
            <sz val="8"/>
            <rFont val="Tahoma"/>
            <charset val="204"/>
          </rPr>
          <t xml:space="preserve">
</t>
        </r>
      </text>
    </comment>
    <comment ref="J35" authorId="0">
      <text>
        <r>
          <rPr>
            <b/>
            <sz val="8"/>
            <rFont val="Tahoma"/>
            <charset val="204"/>
          </rPr>
          <t>Предел прочности после прокатки</t>
        </r>
        <r>
          <rPr>
            <sz val="8"/>
            <rFont val="Tahoma"/>
            <charset val="204"/>
          </rPr>
          <t xml:space="preserve">
</t>
        </r>
      </text>
    </comment>
    <comment ref="B36" authorId="0">
      <text>
        <r>
          <rPr>
            <b/>
            <sz val="8"/>
            <rFont val="Tahoma"/>
            <charset val="204"/>
          </rPr>
          <t>Усиля прокатки</t>
        </r>
      </text>
    </comment>
    <comment ref="B37" authorId="0">
      <text>
        <r>
          <rPr>
            <b/>
            <sz val="8"/>
            <rFont val="Tahoma"/>
            <charset val="204"/>
          </rPr>
          <t xml:space="preserve">Момент прокатки
</t>
        </r>
      </text>
    </comment>
    <comment ref="B40" authorId="0">
      <text>
        <r>
          <rPr>
            <b/>
            <sz val="8"/>
            <rFont val="Tahoma"/>
            <charset val="204"/>
          </rPr>
          <t>Доп Вариант расчёта момета прокатки</t>
        </r>
      </text>
    </comment>
    <comment ref="B41" authorId="0">
      <text>
        <r>
          <rPr>
            <b/>
            <sz val="8"/>
            <rFont val="Tahoma"/>
            <charset val="204"/>
          </rPr>
          <t>Нарпряжение в метале в зависимости от давления</t>
        </r>
        <r>
          <rPr>
            <sz val="8"/>
            <rFont val="Tahoma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<sst xmlns="http://schemas.openxmlformats.org/spreadsheetml/2006/main" count="1092" uniqueCount="792">
  <si>
    <t>КАРТА НАСТРОЙКИ</t>
  </si>
  <si>
    <r>
      <rPr>
        <b/>
        <i/>
        <sz val="10"/>
        <rFont val="Arial Cyr"/>
        <charset val="204"/>
      </rPr>
      <t xml:space="preserve">Прокат профильной трубы </t>
    </r>
    <r>
      <rPr>
        <b/>
        <i/>
        <sz val="10"/>
        <rFont val="Calibri"/>
        <charset val="204"/>
      </rPr>
      <t>Ø</t>
    </r>
  </si>
  <si>
    <t>мм</t>
  </si>
  <si>
    <r>
      <rPr>
        <b/>
        <i/>
        <sz val="10"/>
        <rFont val="Arial Cyr"/>
        <charset val="204"/>
      </rPr>
      <t xml:space="preserve">из заготовки </t>
    </r>
    <r>
      <rPr>
        <b/>
        <i/>
        <sz val="10"/>
        <rFont val="Calibri"/>
        <charset val="204"/>
      </rPr>
      <t>Ø</t>
    </r>
  </si>
  <si>
    <t xml:space="preserve">толщина стенки </t>
  </si>
  <si>
    <t>Настройка горизонтальных валков</t>
  </si>
  <si>
    <t>Настройка эджеров</t>
  </si>
  <si>
    <t>Клеть</t>
  </si>
  <si>
    <t>Валок горизонтальный</t>
  </si>
  <si>
    <t>Высота калибра /обжатия</t>
  </si>
  <si>
    <t>База</t>
  </si>
  <si>
    <t>Наборка на кассете</t>
  </si>
  <si>
    <t>Валок вертикальный</t>
  </si>
  <si>
    <t>Диаметр</t>
  </si>
  <si>
    <t>Ширина бочки</t>
  </si>
  <si>
    <t>Втулка дист.</t>
  </si>
  <si>
    <t>Ширина кал-ра/обж</t>
  </si>
  <si>
    <t>Наб. прок.</t>
  </si>
  <si>
    <t>Скоростные характеристики стана УПС</t>
  </si>
  <si>
    <t>Усл. Тип ГВ</t>
  </si>
  <si>
    <r>
      <rPr>
        <b/>
        <sz val="10"/>
        <rFont val="Arial Cyr"/>
        <charset val="204"/>
      </rPr>
      <t>V</t>
    </r>
    <r>
      <rPr>
        <b/>
        <sz val="6"/>
        <rFont val="Arial Cyr"/>
        <charset val="204"/>
      </rPr>
      <t>гв</t>
    </r>
    <r>
      <rPr>
        <b/>
        <sz val="10"/>
        <rFont val="Arial Cyr"/>
        <charset val="204"/>
      </rPr>
      <t>, м/мин (i</t>
    </r>
    <r>
      <rPr>
        <b/>
        <sz val="6"/>
        <rFont val="Arial Cyr"/>
        <charset val="204"/>
      </rPr>
      <t>кпп</t>
    </r>
    <r>
      <rPr>
        <b/>
        <sz val="10"/>
        <rFont val="Arial Cyr"/>
        <charset val="204"/>
      </rPr>
      <t>= 6,17/3,40)</t>
    </r>
  </si>
  <si>
    <t>Диаметр ГВ, мм</t>
  </si>
  <si>
    <t>Коэф. Скорости*</t>
  </si>
  <si>
    <t>Частота оборотов привода, об/мин</t>
  </si>
  <si>
    <t>(контрольная)</t>
  </si>
  <si>
    <t>УТВЕРЖДАЮ</t>
  </si>
  <si>
    <t>Директор</t>
  </si>
  <si>
    <t>Прокат профильной трубы</t>
  </si>
  <si>
    <t>х</t>
  </si>
  <si>
    <t>толщина стенки</t>
  </si>
  <si>
    <t>Подбор диаметра заготовки ограничен:</t>
  </si>
  <si>
    <t>от</t>
  </si>
  <si>
    <t>до</t>
  </si>
  <si>
    <t>отношение Rn/s</t>
  </si>
  <si>
    <r>
      <rPr>
        <b/>
        <i/>
        <sz val="10"/>
        <rFont val="Arial Cyr"/>
        <charset val="204"/>
      </rPr>
      <t xml:space="preserve">выбор по списку </t>
    </r>
    <r>
      <rPr>
        <b/>
        <sz val="10"/>
        <rFont val="Calibri"/>
        <charset val="204"/>
      </rPr>
      <t>Ø</t>
    </r>
    <r>
      <rPr>
        <b/>
        <i/>
        <sz val="10"/>
        <rFont val="Arial Cyr"/>
        <charset val="204"/>
      </rPr>
      <t>з</t>
    </r>
  </si>
  <si>
    <t>Подбор радиуса закругления</t>
  </si>
  <si>
    <t>введите количество работающих клетей</t>
  </si>
  <si>
    <t>(иск. Кл1)</t>
  </si>
  <si>
    <t>Расчётный радиус закругления</t>
  </si>
  <si>
    <r>
      <rPr>
        <b/>
        <i/>
        <sz val="10"/>
        <rFont val="Arial Cyr"/>
        <charset val="204"/>
      </rPr>
      <t xml:space="preserve">коэффициенты отношения </t>
    </r>
    <r>
      <rPr>
        <b/>
        <i/>
        <sz val="10"/>
        <rFont val="Calibri"/>
        <charset val="204"/>
      </rPr>
      <t>Ø</t>
    </r>
    <r>
      <rPr>
        <b/>
        <i/>
        <sz val="10"/>
        <rFont val="Arial Cyr"/>
        <charset val="204"/>
      </rPr>
      <t>з/а*</t>
    </r>
  </si>
  <si>
    <t>min</t>
  </si>
  <si>
    <t>max</t>
  </si>
  <si>
    <t>реал</t>
  </si>
  <si>
    <t>Кл</t>
  </si>
  <si>
    <t>Рп, т</t>
  </si>
  <si>
    <t>Мп, кгм</t>
  </si>
  <si>
    <t>Сумарные обжатия</t>
  </si>
  <si>
    <t>Высота калибра</t>
  </si>
  <si>
    <t>Шайбы</t>
  </si>
  <si>
    <t>Кас.</t>
  </si>
  <si>
    <r>
      <rPr>
        <b/>
        <sz val="10"/>
        <rFont val="Arial Cyr"/>
        <charset val="204"/>
      </rPr>
      <t>D</t>
    </r>
    <r>
      <rPr>
        <b/>
        <sz val="8"/>
        <rFont val="Arial Cyr"/>
        <charset val="204"/>
      </rPr>
      <t>вв</t>
    </r>
  </si>
  <si>
    <t>А</t>
  </si>
  <si>
    <t>Lв и Rв вертикального валка</t>
  </si>
  <si>
    <t>Наб. под опоры ВВ</t>
  </si>
  <si>
    <t>Ширина</t>
  </si>
  <si>
    <t>№</t>
  </si>
  <si>
    <t>ГВ</t>
  </si>
  <si>
    <t>ВВ</t>
  </si>
  <si>
    <t>Σ</t>
  </si>
  <si>
    <t>Lг</t>
  </si>
  <si>
    <t>№Г</t>
  </si>
  <si>
    <t>Dг</t>
  </si>
  <si>
    <t>Rг</t>
  </si>
  <si>
    <t>В</t>
  </si>
  <si>
    <t>Обж</t>
  </si>
  <si>
    <t>Пер</t>
  </si>
  <si>
    <t>Наименование</t>
  </si>
  <si>
    <t>Lв</t>
  </si>
  <si>
    <t>Rв</t>
  </si>
  <si>
    <r>
      <rPr>
        <b/>
        <sz val="12"/>
        <rFont val="Calibri"/>
        <charset val="204"/>
      </rPr>
      <t>Δ</t>
    </r>
    <r>
      <rPr>
        <b/>
        <sz val="8"/>
        <rFont val="Calibri"/>
        <charset val="204"/>
      </rPr>
      <t>щ</t>
    </r>
  </si>
  <si>
    <t>кал</t>
  </si>
  <si>
    <t>обж</t>
  </si>
  <si>
    <t>УПС.09.УВ2И-105</t>
  </si>
  <si>
    <t>УПС.09.УВ3И-115</t>
  </si>
  <si>
    <t>УПС.09.УВ3И-125</t>
  </si>
  <si>
    <t>УПС.09.УВ4-125</t>
  </si>
  <si>
    <t>УПС.09.УВ4И-135</t>
  </si>
  <si>
    <t>―</t>
  </si>
  <si>
    <t>Валок наборной</t>
  </si>
  <si>
    <t>Суммарные обжатия</t>
  </si>
  <si>
    <t>Пл/масса</t>
  </si>
  <si>
    <r>
      <rPr>
        <b/>
        <i/>
        <sz val="10"/>
        <rFont val="Arial Cyr"/>
        <charset val="204"/>
      </rPr>
      <t xml:space="preserve">* где, </t>
    </r>
    <r>
      <rPr>
        <b/>
        <i/>
        <sz val="12"/>
        <rFont val="Arial Cyr"/>
        <charset val="204"/>
      </rPr>
      <t>а</t>
    </r>
    <r>
      <rPr>
        <b/>
        <i/>
        <sz val="10"/>
        <rFont val="Arial Cyr"/>
        <charset val="204"/>
      </rPr>
      <t xml:space="preserve"> - среднее значение сторон профиля (А+В)/2</t>
    </r>
  </si>
  <si>
    <t>Ось прокатки -</t>
  </si>
  <si>
    <t xml:space="preserve"> </t>
  </si>
  <si>
    <t>СОГЛАСОВАНО</t>
  </si>
  <si>
    <t>Тех. Отдел</t>
  </si>
  <si>
    <t>______________________________</t>
  </si>
  <si>
    <t>(фамилимя, подпись)</t>
  </si>
  <si>
    <t>ИСПОЛНИТЕЛЬ</t>
  </si>
  <si>
    <t>Технолог</t>
  </si>
  <si>
    <t>Коффициент</t>
  </si>
  <si>
    <t>Толщина стенки</t>
  </si>
  <si>
    <t>мин</t>
  </si>
  <si>
    <t>макс</t>
  </si>
  <si>
    <t>мах</t>
  </si>
  <si>
    <t>Периметр проф т</t>
  </si>
  <si>
    <t>&lt;= 6</t>
  </si>
  <si>
    <t xml:space="preserve">c 6 до 10 включительно </t>
  </si>
  <si>
    <t>больше  &gt; 10</t>
  </si>
  <si>
    <t xml:space="preserve">Маршрут проката профильной трубы </t>
  </si>
  <si>
    <t>АхВ</t>
  </si>
  <si>
    <t>Дз</t>
  </si>
  <si>
    <t>Кл.1</t>
  </si>
  <si>
    <t>Кл.2</t>
  </si>
  <si>
    <t>Кл.3</t>
  </si>
  <si>
    <t>Кл.4</t>
  </si>
  <si>
    <t>Кл.5</t>
  </si>
  <si>
    <t>Кл.6</t>
  </si>
  <si>
    <t>дД</t>
  </si>
  <si>
    <t>ΔДв</t>
  </si>
  <si>
    <t>Нщ</t>
  </si>
  <si>
    <t>Аширина</t>
  </si>
  <si>
    <t>Рг</t>
  </si>
  <si>
    <t>2Нг</t>
  </si>
  <si>
    <t>Дг.мин</t>
  </si>
  <si>
    <t>Дг.макс</t>
  </si>
  <si>
    <t>Вг.вал</t>
  </si>
  <si>
    <t>Пос-ная</t>
  </si>
  <si>
    <t>Шир.В.валка</t>
  </si>
  <si>
    <t>Кас+Рама</t>
  </si>
  <si>
    <t>Моа</t>
  </si>
  <si>
    <t>ΔДа</t>
  </si>
  <si>
    <t>Ввысота</t>
  </si>
  <si>
    <t>Рв</t>
  </si>
  <si>
    <t>2Нв</t>
  </si>
  <si>
    <t>Дв.мин</t>
  </si>
  <si>
    <t>Дв.макс</t>
  </si>
  <si>
    <t>Мов</t>
  </si>
  <si>
    <t>Дл. Шпин</t>
  </si>
  <si>
    <t>Rн</t>
  </si>
  <si>
    <t>Меж.ос.раст</t>
  </si>
  <si>
    <t>ШестКлеть</t>
  </si>
  <si>
    <t>Угол в</t>
  </si>
  <si>
    <t>Угол н</t>
  </si>
  <si>
    <t>А/В</t>
  </si>
  <si>
    <t>дП</t>
  </si>
  <si>
    <t>П</t>
  </si>
  <si>
    <t>ПR</t>
  </si>
  <si>
    <t>ПдР</t>
  </si>
  <si>
    <t>Дк</t>
  </si>
  <si>
    <t>Кс</t>
  </si>
  <si>
    <t>Тк</t>
  </si>
  <si>
    <t>H</t>
  </si>
  <si>
    <t>Lд</t>
  </si>
  <si>
    <r>
      <rPr>
        <b/>
        <sz val="16"/>
        <rFont val="Calibri"/>
        <charset val="204"/>
      </rPr>
      <t>σ</t>
    </r>
    <r>
      <rPr>
        <b/>
        <sz val="10"/>
        <rFont val="Arial Cyr"/>
        <charset val="204"/>
      </rPr>
      <t>в</t>
    </r>
  </si>
  <si>
    <t>Рпр</t>
  </si>
  <si>
    <t>Мпр</t>
  </si>
  <si>
    <t>Р</t>
  </si>
  <si>
    <t>МпрП</t>
  </si>
  <si>
    <t>Rp</t>
  </si>
  <si>
    <t>Межосевое растояние минимальное</t>
  </si>
  <si>
    <t>Межосевое расстояние максивальное</t>
  </si>
  <si>
    <t>Программа №4 с К/К</t>
  </si>
  <si>
    <t>ст20</t>
  </si>
  <si>
    <t>450МПА</t>
  </si>
  <si>
    <t>45кг/м</t>
  </si>
  <si>
    <t>Для расчётов калибровок по заданной схеме.</t>
  </si>
  <si>
    <t>z 2-5,</t>
  </si>
  <si>
    <t>S,</t>
  </si>
  <si>
    <r>
      <rPr>
        <b/>
        <sz val="16"/>
        <rFont val="Arial Cyr"/>
        <charset val="204"/>
      </rPr>
      <t>r</t>
    </r>
    <r>
      <rPr>
        <b/>
        <vertAlign val="subscript"/>
        <sz val="16"/>
        <rFont val="Arial Cyr"/>
        <charset val="204"/>
      </rPr>
      <t>н,</t>
    </r>
  </si>
  <si>
    <r>
      <rPr>
        <b/>
        <sz val="16"/>
        <rFont val="Arial Cyr"/>
        <charset val="204"/>
      </rPr>
      <t>r`</t>
    </r>
    <r>
      <rPr>
        <b/>
        <vertAlign val="subscript"/>
        <sz val="16"/>
        <rFont val="Arial Cyr"/>
        <charset val="204"/>
      </rPr>
      <t>н,</t>
    </r>
  </si>
  <si>
    <r>
      <rPr>
        <b/>
        <sz val="16"/>
        <rFont val="Arial Cyr"/>
        <charset val="204"/>
      </rPr>
      <t>r</t>
    </r>
    <r>
      <rPr>
        <b/>
        <vertAlign val="subscript"/>
        <sz val="16"/>
        <rFont val="Arial Cyr"/>
        <charset val="204"/>
      </rPr>
      <t>н</t>
    </r>
    <r>
      <rPr>
        <b/>
        <sz val="16"/>
        <rFont val="Arial Cyr"/>
        <charset val="204"/>
      </rPr>
      <t>/S,</t>
    </r>
  </si>
  <si>
    <r>
      <rPr>
        <b/>
        <sz val="16"/>
        <rFont val="Arial Cyr"/>
        <charset val="204"/>
      </rPr>
      <t>Д</t>
    </r>
    <r>
      <rPr>
        <b/>
        <vertAlign val="subscript"/>
        <sz val="16"/>
        <rFont val="Arial Cyr"/>
        <charset val="204"/>
      </rPr>
      <t>з,</t>
    </r>
  </si>
  <si>
    <r>
      <rPr>
        <b/>
        <sz val="16"/>
        <rFont val="Arial Cyr"/>
        <charset val="204"/>
      </rPr>
      <t>Д</t>
    </r>
    <r>
      <rPr>
        <b/>
        <vertAlign val="subscript"/>
        <sz val="16"/>
        <rFont val="Arial Cyr"/>
        <charset val="204"/>
      </rPr>
      <t xml:space="preserve">а, </t>
    </r>
  </si>
  <si>
    <r>
      <rPr>
        <b/>
        <sz val="16"/>
        <rFont val="Arial Cyr"/>
        <charset val="204"/>
      </rPr>
      <t>Д</t>
    </r>
    <r>
      <rPr>
        <b/>
        <vertAlign val="subscript"/>
        <sz val="16"/>
        <rFont val="Arial Cyr"/>
        <charset val="204"/>
      </rPr>
      <t>в,</t>
    </r>
  </si>
  <si>
    <t>А,</t>
  </si>
  <si>
    <t>В,</t>
  </si>
  <si>
    <r>
      <rPr>
        <b/>
        <sz val="16"/>
        <rFont val="GreekC"/>
        <charset val="204"/>
      </rPr>
      <t>δ</t>
    </r>
    <r>
      <rPr>
        <b/>
        <vertAlign val="subscript"/>
        <sz val="16"/>
        <rFont val="GreekC"/>
        <charset val="204"/>
      </rPr>
      <t>, мм</t>
    </r>
  </si>
  <si>
    <r>
      <rPr>
        <b/>
        <sz val="16"/>
        <rFont val="Arial Cyr"/>
        <charset val="204"/>
      </rPr>
      <t>Д</t>
    </r>
    <r>
      <rPr>
        <b/>
        <vertAlign val="superscript"/>
        <sz val="16"/>
        <rFont val="Arial Cyr"/>
        <charset val="204"/>
      </rPr>
      <t>0</t>
    </r>
    <r>
      <rPr>
        <b/>
        <vertAlign val="subscript"/>
        <sz val="16"/>
        <rFont val="Arial Cyr"/>
        <charset val="204"/>
      </rPr>
      <t>а,</t>
    </r>
  </si>
  <si>
    <r>
      <rPr>
        <b/>
        <sz val="16"/>
        <rFont val="Arial Cyr"/>
        <charset val="204"/>
      </rPr>
      <t>Д</t>
    </r>
    <r>
      <rPr>
        <b/>
        <vertAlign val="superscript"/>
        <sz val="16"/>
        <rFont val="Arial Cyr"/>
        <charset val="204"/>
      </rPr>
      <t>0</t>
    </r>
    <r>
      <rPr>
        <b/>
        <vertAlign val="subscript"/>
        <sz val="16"/>
        <rFont val="Arial Cyr"/>
        <charset val="204"/>
      </rPr>
      <t>в,</t>
    </r>
  </si>
  <si>
    <r>
      <rPr>
        <b/>
        <sz val="16"/>
        <rFont val="GreekC"/>
        <charset val="204"/>
      </rPr>
      <t>α</t>
    </r>
    <r>
      <rPr>
        <b/>
        <vertAlign val="subscript"/>
        <sz val="16"/>
        <rFont val="GreekC"/>
        <charset val="204"/>
      </rPr>
      <t>1,</t>
    </r>
  </si>
  <si>
    <r>
      <rPr>
        <b/>
        <sz val="16"/>
        <rFont val="GreekC"/>
        <charset val="204"/>
      </rPr>
      <t>s</t>
    </r>
    <r>
      <rPr>
        <b/>
        <vertAlign val="subscript"/>
        <sz val="16"/>
        <rFont val="GreekC"/>
        <charset val="204"/>
      </rPr>
      <t>т,</t>
    </r>
  </si>
  <si>
    <t>V,</t>
  </si>
  <si>
    <t>шт</t>
  </si>
  <si>
    <t>к.1-к.2</t>
  </si>
  <si>
    <t>к.3-к.4</t>
  </si>
  <si>
    <t>к.5-к.6</t>
  </si>
  <si>
    <t>град</t>
  </si>
  <si>
    <t>кг/мм²</t>
  </si>
  <si>
    <t>м/мин</t>
  </si>
  <si>
    <t>Схема профилирования</t>
  </si>
  <si>
    <t>Валки</t>
  </si>
  <si>
    <r>
      <rPr>
        <b/>
        <sz val="14"/>
        <rFont val="GreekC"/>
        <charset val="204"/>
      </rPr>
      <t>DП</t>
    </r>
    <r>
      <rPr>
        <b/>
        <vertAlign val="subscript"/>
        <sz val="14"/>
        <rFont val="GreekC"/>
        <charset val="204"/>
      </rPr>
      <t>i</t>
    </r>
    <r>
      <rPr>
        <b/>
        <sz val="14"/>
        <rFont val="GreekC"/>
        <charset val="204"/>
      </rPr>
      <t xml:space="preserve">/П,  </t>
    </r>
  </si>
  <si>
    <r>
      <rPr>
        <b/>
        <sz val="14"/>
        <rFont val="GreekC"/>
        <charset val="204"/>
      </rPr>
      <t>П</t>
    </r>
    <r>
      <rPr>
        <b/>
        <vertAlign val="subscript"/>
        <sz val="14"/>
        <rFont val="Times New Roman"/>
        <charset val="204"/>
      </rPr>
      <t>i,</t>
    </r>
  </si>
  <si>
    <r>
      <rPr>
        <b/>
        <vertAlign val="subscript"/>
        <sz val="14"/>
        <rFont val="GreekC"/>
        <charset val="204"/>
      </rPr>
      <t>D</t>
    </r>
    <r>
      <rPr>
        <b/>
        <sz val="14"/>
        <rFont val="GreekC"/>
        <charset val="204"/>
      </rPr>
      <t>П</t>
    </r>
    <r>
      <rPr>
        <b/>
        <vertAlign val="subscript"/>
        <sz val="14"/>
        <rFont val="Times New Roman"/>
        <charset val="204"/>
      </rPr>
      <t>и,</t>
    </r>
  </si>
  <si>
    <r>
      <rPr>
        <b/>
        <i/>
        <sz val="14"/>
        <rFont val="Arial Cyr"/>
        <charset val="204"/>
      </rPr>
      <t>r</t>
    </r>
    <r>
      <rPr>
        <b/>
        <i/>
        <vertAlign val="sub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,</t>
    </r>
  </si>
  <si>
    <r>
      <rPr>
        <b/>
        <i/>
        <sz val="14"/>
        <rFont val="Arial Cyr"/>
        <charset val="204"/>
      </rPr>
      <t>R</t>
    </r>
    <r>
      <rPr>
        <b/>
        <i/>
        <vertAlign val="super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a,мм</t>
    </r>
  </si>
  <si>
    <r>
      <rPr>
        <b/>
        <i/>
        <sz val="14"/>
        <rFont val="Arial Cyr"/>
        <charset val="204"/>
      </rPr>
      <t>A</t>
    </r>
    <r>
      <rPr>
        <b/>
        <i/>
        <vertAlign val="sub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,мм</t>
    </r>
  </si>
  <si>
    <t>Промежуточная          величина, мм</t>
  </si>
  <si>
    <t>Коэфф. скорости</t>
  </si>
  <si>
    <r>
      <rPr>
        <b/>
        <i/>
        <sz val="14"/>
        <rFont val="Arial Cyr"/>
        <charset val="204"/>
      </rPr>
      <t>a</t>
    </r>
    <r>
      <rPr>
        <b/>
        <i/>
        <vertAlign val="sub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,мм</t>
    </r>
  </si>
  <si>
    <r>
      <rPr>
        <b/>
        <i/>
        <sz val="14"/>
        <rFont val="Arial Cyr"/>
        <charset val="204"/>
      </rPr>
      <t>H</t>
    </r>
    <r>
      <rPr>
        <b/>
        <i/>
        <vertAlign val="subscript"/>
        <sz val="14"/>
        <rFont val="Arial Cyr"/>
        <charset val="204"/>
      </rPr>
      <t>a</t>
    </r>
    <r>
      <rPr>
        <b/>
        <i/>
        <sz val="14"/>
        <rFont val="Arial Cyr"/>
        <charset val="204"/>
      </rPr>
      <t>,мм</t>
    </r>
  </si>
  <si>
    <t>A`,мм</t>
  </si>
  <si>
    <r>
      <rPr>
        <b/>
        <i/>
        <sz val="14"/>
        <rFont val="Arial Cyr"/>
        <charset val="204"/>
      </rPr>
      <t>Д</t>
    </r>
    <r>
      <rPr>
        <b/>
        <i/>
        <vertAlign val="subscript"/>
        <sz val="14"/>
        <rFont val="Arial Cyr"/>
        <charset val="204"/>
      </rPr>
      <t>а</t>
    </r>
    <r>
      <rPr>
        <b/>
        <i/>
        <sz val="14"/>
        <rFont val="Arial Cyr"/>
        <charset val="204"/>
      </rPr>
      <t>,мм</t>
    </r>
  </si>
  <si>
    <t>%</t>
  </si>
  <si>
    <r>
      <rPr>
        <b/>
        <i/>
        <sz val="14"/>
        <rFont val="Arial Cyr"/>
        <charset val="204"/>
      </rPr>
      <t>R</t>
    </r>
    <r>
      <rPr>
        <b/>
        <i/>
        <vertAlign val="super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в,мм</t>
    </r>
  </si>
  <si>
    <r>
      <rPr>
        <b/>
        <i/>
        <sz val="14"/>
        <rFont val="Arial Cyr"/>
        <charset val="204"/>
      </rPr>
      <t>B</t>
    </r>
    <r>
      <rPr>
        <b/>
        <i/>
        <vertAlign val="sub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,мм</t>
    </r>
  </si>
  <si>
    <r>
      <rPr>
        <b/>
        <i/>
        <sz val="14"/>
        <rFont val="Arial Cyr"/>
        <charset val="204"/>
      </rPr>
      <t>в</t>
    </r>
    <r>
      <rPr>
        <b/>
        <i/>
        <vertAlign val="subscript"/>
        <sz val="14"/>
        <rFont val="Arial Cyr"/>
        <charset val="204"/>
      </rPr>
      <t>i</t>
    </r>
    <r>
      <rPr>
        <b/>
        <i/>
        <sz val="14"/>
        <rFont val="Arial Cyr"/>
        <charset val="204"/>
      </rPr>
      <t>,мм</t>
    </r>
  </si>
  <si>
    <r>
      <rPr>
        <b/>
        <i/>
        <sz val="14"/>
        <rFont val="Arial Cyr"/>
        <charset val="204"/>
      </rPr>
      <t>H</t>
    </r>
    <r>
      <rPr>
        <b/>
        <i/>
        <vertAlign val="subscript"/>
        <sz val="14"/>
        <rFont val="Arial Cyr"/>
        <charset val="204"/>
      </rPr>
      <t>в</t>
    </r>
    <r>
      <rPr>
        <b/>
        <i/>
        <sz val="14"/>
        <rFont val="Arial Cyr"/>
        <charset val="204"/>
      </rPr>
      <t>,мм</t>
    </r>
  </si>
  <si>
    <t>B`,мм</t>
  </si>
  <si>
    <r>
      <rPr>
        <b/>
        <i/>
        <sz val="14"/>
        <rFont val="Arial Cyr"/>
        <charset val="204"/>
      </rPr>
      <t>Д</t>
    </r>
    <r>
      <rPr>
        <b/>
        <i/>
        <vertAlign val="subscript"/>
        <sz val="14"/>
        <rFont val="Arial Cyr"/>
        <charset val="204"/>
      </rPr>
      <t>э</t>
    </r>
    <r>
      <rPr>
        <b/>
        <i/>
        <sz val="14"/>
        <rFont val="Arial Cyr"/>
        <charset val="204"/>
      </rPr>
      <t>,мм</t>
    </r>
  </si>
  <si>
    <t>A</t>
  </si>
  <si>
    <t>-----</t>
  </si>
  <si>
    <t>зада-</t>
  </si>
  <si>
    <t>B</t>
  </si>
  <si>
    <t>ющая</t>
  </si>
  <si>
    <t>Формирующие</t>
  </si>
  <si>
    <t>a=</t>
  </si>
  <si>
    <t>b=</t>
  </si>
  <si>
    <t>x=</t>
  </si>
  <si>
    <t>y=</t>
  </si>
  <si>
    <t>Q</t>
  </si>
  <si>
    <t xml:space="preserve"> калиб-</t>
  </si>
  <si>
    <t>рующая</t>
  </si>
  <si>
    <t xml:space="preserve">  </t>
  </si>
  <si>
    <t>Z-количество формирующих клетей</t>
  </si>
  <si>
    <t>Д0а,Д0в-межосевое расстояние</t>
  </si>
  <si>
    <t>L</t>
  </si>
  <si>
    <t>a</t>
  </si>
  <si>
    <t>Мпр.</t>
  </si>
  <si>
    <t>n</t>
  </si>
  <si>
    <t>Nдв.</t>
  </si>
  <si>
    <t>L-</t>
  </si>
  <si>
    <t>Длинна очага деформации (мм).</t>
  </si>
  <si>
    <t>тонн</t>
  </si>
  <si>
    <t>град.</t>
  </si>
  <si>
    <t>кг*м</t>
  </si>
  <si>
    <t>об./мин</t>
  </si>
  <si>
    <t>кВч</t>
  </si>
  <si>
    <t>Р-</t>
  </si>
  <si>
    <t>Давление металла на валки (т).</t>
  </si>
  <si>
    <t>1 зада-</t>
  </si>
  <si>
    <t>a-</t>
  </si>
  <si>
    <t>Угол захвата (град.).</t>
  </si>
  <si>
    <t>Мпр.-</t>
  </si>
  <si>
    <t>Момент прокатки (кг*м).</t>
  </si>
  <si>
    <t>n-</t>
  </si>
  <si>
    <r>
      <rPr>
        <b/>
        <i/>
        <sz val="14"/>
        <rFont val="Arial Cyr"/>
        <charset val="204"/>
      </rPr>
      <t>Число оборотов валков (об./мин</t>
    </r>
    <r>
      <rPr>
        <b/>
        <i/>
        <sz val="10"/>
        <rFont val="Arial Cyr"/>
        <charset val="204"/>
      </rPr>
      <t>).</t>
    </r>
  </si>
  <si>
    <t>Nдв.-</t>
  </si>
  <si>
    <t>Мощность двигателя (кВт).</t>
  </si>
  <si>
    <t>6 калиб-</t>
  </si>
  <si>
    <t>Rn/S</t>
  </si>
  <si>
    <t>EN</t>
  </si>
  <si>
    <t>ГОСТ</t>
  </si>
  <si>
    <t>S ≤ 6</t>
  </si>
  <si>
    <t>1,6 до 2,4</t>
  </si>
  <si>
    <t>≤2</t>
  </si>
  <si>
    <t>6 &lt; S ≤ 10</t>
  </si>
  <si>
    <t>2,0 до 3,0</t>
  </si>
  <si>
    <t>S &gt; 10</t>
  </si>
  <si>
    <t>2,4 до 3,6</t>
  </si>
  <si>
    <t>Задающие параметры:</t>
  </si>
  <si>
    <r>
      <rPr>
        <b/>
        <sz val="14"/>
        <rFont val="Arial Cyr"/>
        <charset val="204"/>
      </rPr>
      <t>Д</t>
    </r>
    <r>
      <rPr>
        <b/>
        <sz val="12"/>
        <rFont val="Arial Cyr"/>
        <charset val="204"/>
      </rPr>
      <t>3</t>
    </r>
  </si>
  <si>
    <t>Дв</t>
  </si>
  <si>
    <r>
      <rPr>
        <b/>
        <i/>
        <sz val="14"/>
        <rFont val="GreekC"/>
        <charset val="204"/>
      </rPr>
      <t>d</t>
    </r>
    <r>
      <rPr>
        <b/>
        <i/>
        <sz val="8"/>
        <rFont val="GreekC"/>
        <charset val="204"/>
      </rPr>
      <t>3-4</t>
    </r>
  </si>
  <si>
    <r>
      <rPr>
        <b/>
        <i/>
        <sz val="14"/>
        <rFont val="GreekC"/>
        <charset val="204"/>
      </rPr>
      <t>d</t>
    </r>
    <r>
      <rPr>
        <b/>
        <i/>
        <sz val="8"/>
        <rFont val="GreekC"/>
        <charset val="204"/>
      </rPr>
      <t>5-6</t>
    </r>
  </si>
  <si>
    <t>РАСЧЁТ ФАКТИЧЕСКОГО РАДИУСА ЗАКРУГЛЕНИЯ И ДИАМЕТРА ЗАГОТОВКИ:</t>
  </si>
  <si>
    <t>S</t>
  </si>
  <si>
    <t>R`3</t>
  </si>
  <si>
    <t>РАСЧЁТ РАДИУСОВ СКРУГЛЕНИЯ ТРУБ ПРИ ПРОФИЛИРОВАНИИ В МНОГОКЛЕТЬЕВОМ СТАНЕ:</t>
  </si>
  <si>
    <t>z</t>
  </si>
  <si>
    <t>riн</t>
  </si>
  <si>
    <t>ЗНАМЕНАТ</t>
  </si>
  <si>
    <t>ЧИСЛИТ</t>
  </si>
  <si>
    <t>Rн1</t>
  </si>
  <si>
    <t>Rн2</t>
  </si>
  <si>
    <t>Rн3</t>
  </si>
  <si>
    <t>Rн4</t>
  </si>
  <si>
    <t>Rн5</t>
  </si>
  <si>
    <t>Rн6</t>
  </si>
  <si>
    <t>Расчёт изменения периметра,при профилировании:</t>
  </si>
  <si>
    <t>Радиус сопряжения углов профиля (гор. и верт.):</t>
  </si>
  <si>
    <t>д.П1</t>
  </si>
  <si>
    <t>П1</t>
  </si>
  <si>
    <t>д.Пi/П%</t>
  </si>
  <si>
    <t>ri1</t>
  </si>
  <si>
    <t>R3</t>
  </si>
  <si>
    <t>дПи1</t>
  </si>
  <si>
    <t>д.П2</t>
  </si>
  <si>
    <t>П2</t>
  </si>
  <si>
    <t>ri2</t>
  </si>
  <si>
    <t>дПи2</t>
  </si>
  <si>
    <t>д.П3</t>
  </si>
  <si>
    <t>П3</t>
  </si>
  <si>
    <t>ri3</t>
  </si>
  <si>
    <t>дПи3</t>
  </si>
  <si>
    <t>д.П4</t>
  </si>
  <si>
    <t>П4</t>
  </si>
  <si>
    <t>ri4</t>
  </si>
  <si>
    <t>дПи4</t>
  </si>
  <si>
    <t>д.П5</t>
  </si>
  <si>
    <t>П5</t>
  </si>
  <si>
    <t>ri5</t>
  </si>
  <si>
    <t>дПи5</t>
  </si>
  <si>
    <t>д.Пi</t>
  </si>
  <si>
    <t>П6</t>
  </si>
  <si>
    <t>ri6</t>
  </si>
  <si>
    <t>дПи6</t>
  </si>
  <si>
    <t>Расчёт радиусов вогнутости роликов (валков) при профилировании</t>
  </si>
  <si>
    <t xml:space="preserve"> в "z" клетях или за один проход:</t>
  </si>
  <si>
    <t>Ru_a-гор</t>
  </si>
  <si>
    <t>Ru_b-верт</t>
  </si>
  <si>
    <t>Определив критичесский радиус для последней клети, деформацию разгиба</t>
  </si>
  <si>
    <t>распределяют равномерно между клетями:</t>
  </si>
  <si>
    <t>К-const</t>
  </si>
  <si>
    <t>2K-const</t>
  </si>
  <si>
    <t>Для последующих клетей:</t>
  </si>
  <si>
    <t>Ri(a)-гор(1кл)</t>
  </si>
  <si>
    <t>2г</t>
  </si>
  <si>
    <t>3г</t>
  </si>
  <si>
    <t>4г</t>
  </si>
  <si>
    <t>5г</t>
  </si>
  <si>
    <t>6г</t>
  </si>
  <si>
    <t>Радиус гориз. валка</t>
  </si>
  <si>
    <t>Ri(b)-верт(1-кл)</t>
  </si>
  <si>
    <t>2в</t>
  </si>
  <si>
    <t>3в</t>
  </si>
  <si>
    <t>4в</t>
  </si>
  <si>
    <t>5в</t>
  </si>
  <si>
    <t>6в</t>
  </si>
  <si>
    <t>Радиус вертк. валка</t>
  </si>
  <si>
    <t xml:space="preserve">Расчёт условного профиля (Аi;Bi) в каждой клети для определения </t>
  </si>
  <si>
    <t xml:space="preserve"> центров радиусов скругления профилей  (центры каждого</t>
  </si>
  <si>
    <t xml:space="preserve"> угла находятся на одной оси-линии):</t>
  </si>
  <si>
    <t>В`i(1)</t>
  </si>
  <si>
    <t>В`i(2)</t>
  </si>
  <si>
    <t>В`i(3)</t>
  </si>
  <si>
    <t>В`i(4)</t>
  </si>
  <si>
    <t>В`i(5)</t>
  </si>
  <si>
    <t>В`i(6)</t>
  </si>
  <si>
    <t>А`i(1)</t>
  </si>
  <si>
    <t>А`i(2)</t>
  </si>
  <si>
    <t>А`i(3)</t>
  </si>
  <si>
    <t>А`i(4)</t>
  </si>
  <si>
    <t>А`i(5)</t>
  </si>
  <si>
    <t>А`i(6)</t>
  </si>
  <si>
    <t>Delta/ cр(1)</t>
  </si>
  <si>
    <t>Delta/ cр(2)</t>
  </si>
  <si>
    <t>Delta/ cр(3)</t>
  </si>
  <si>
    <t>Delta/ cр(4)</t>
  </si>
  <si>
    <t>Delta/ cр(5)</t>
  </si>
  <si>
    <t>Delta/ cр(6)</t>
  </si>
  <si>
    <t>Программа для определения условной высоты и ширины профиля</t>
  </si>
  <si>
    <t>Аi и Bi (без учёта выпуклостей граней):</t>
  </si>
  <si>
    <t>i</t>
  </si>
  <si>
    <t>iобщ.</t>
  </si>
  <si>
    <t>Riв-ri2</t>
  </si>
  <si>
    <t>Riв-ri3</t>
  </si>
  <si>
    <t>Riв-ri4</t>
  </si>
  <si>
    <t>Riв-ri5</t>
  </si>
  <si>
    <t>Riв-ri6</t>
  </si>
  <si>
    <t>Riв-ri7</t>
  </si>
  <si>
    <t>Ria-ri2</t>
  </si>
  <si>
    <t>Ria-ri3</t>
  </si>
  <si>
    <t>Ria-ri4</t>
  </si>
  <si>
    <t>Ria-ri5</t>
  </si>
  <si>
    <t>Ria-ri6</t>
  </si>
  <si>
    <t>Ria-ri7</t>
  </si>
  <si>
    <t>ЗАНЕСТИ В ТАБЛИЦУ!!!</t>
  </si>
  <si>
    <t>Вi(1)</t>
  </si>
  <si>
    <t>Вi(2)</t>
  </si>
  <si>
    <t>Вi(3)</t>
  </si>
  <si>
    <t>Вi(4)</t>
  </si>
  <si>
    <t>Вi(5)</t>
  </si>
  <si>
    <t>Вi(6)</t>
  </si>
  <si>
    <t>Ai(1)</t>
  </si>
  <si>
    <t>Ai(2)</t>
  </si>
  <si>
    <t>Ai(3)</t>
  </si>
  <si>
    <t>Ai(4)</t>
  </si>
  <si>
    <t>Ai(5)</t>
  </si>
  <si>
    <t>Ai(6)</t>
  </si>
  <si>
    <t>-Расчет радиуса скругления на центры одной оси</t>
  </si>
  <si>
    <t>Расчёт размеров валков:</t>
  </si>
  <si>
    <t>724</t>
  </si>
  <si>
    <t>688</t>
  </si>
  <si>
    <t>1О(1-2)</t>
  </si>
  <si>
    <t>2О(1-2)</t>
  </si>
  <si>
    <t>3О(1-2)</t>
  </si>
  <si>
    <t>4О(1-2)</t>
  </si>
  <si>
    <t>5О(1-2)</t>
  </si>
  <si>
    <t>6О(1-2)</t>
  </si>
  <si>
    <t>1О(3-4)</t>
  </si>
  <si>
    <t>2О(3-4)</t>
  </si>
  <si>
    <t>3О(3-4)</t>
  </si>
  <si>
    <t>4О(3-4)</t>
  </si>
  <si>
    <t>5О(3-4)</t>
  </si>
  <si>
    <t>6О(3-4)</t>
  </si>
  <si>
    <t>a1</t>
  </si>
  <si>
    <t>a2</t>
  </si>
  <si>
    <t>a3</t>
  </si>
  <si>
    <t>a4</t>
  </si>
  <si>
    <t>a5</t>
  </si>
  <si>
    <t>a6</t>
  </si>
  <si>
    <t>-Смещение радиусов калибров относительно центра колибров (b-смещ. радиусов гор.).</t>
  </si>
  <si>
    <t>b1</t>
  </si>
  <si>
    <t>b2</t>
  </si>
  <si>
    <t>b3</t>
  </si>
  <si>
    <t>b4</t>
  </si>
  <si>
    <t>b5</t>
  </si>
  <si>
    <t>b6</t>
  </si>
  <si>
    <t>1а2+1b2</t>
  </si>
  <si>
    <t>2а2+2b2</t>
  </si>
  <si>
    <t>3а2+3b2</t>
  </si>
  <si>
    <t>4а2+4b2</t>
  </si>
  <si>
    <t>5а2+5b2</t>
  </si>
  <si>
    <t>6а2+6b2</t>
  </si>
  <si>
    <t>Bi`(1)</t>
  </si>
  <si>
    <t>Bi`(2)</t>
  </si>
  <si>
    <t>Bi`(3)</t>
  </si>
  <si>
    <t>Bi`(4)</t>
  </si>
  <si>
    <t>Bi`(5)</t>
  </si>
  <si>
    <t>Bi`(6)</t>
  </si>
  <si>
    <t>-Наружные размеры профиля с учетом выпуклости.</t>
  </si>
  <si>
    <t>Ai`(1)</t>
  </si>
  <si>
    <t>Ai`(2)</t>
  </si>
  <si>
    <t>Ai`(3)</t>
  </si>
  <si>
    <t>Ai`(4)</t>
  </si>
  <si>
    <t>Ai`(5)</t>
  </si>
  <si>
    <t>Ai`(6)</t>
  </si>
  <si>
    <t>КООРДИНАТА X ИЗ С-МЫ:</t>
  </si>
  <si>
    <t>с1</t>
  </si>
  <si>
    <t>с2</t>
  </si>
  <si>
    <t>с3</t>
  </si>
  <si>
    <t>с4</t>
  </si>
  <si>
    <t>с5</t>
  </si>
  <si>
    <t>с6</t>
  </si>
  <si>
    <t>Вспомогательная (промежуточная) величина.</t>
  </si>
  <si>
    <t>Х1</t>
  </si>
  <si>
    <t>Х2</t>
  </si>
  <si>
    <t>Х3</t>
  </si>
  <si>
    <t>Х4</t>
  </si>
  <si>
    <t>Х5</t>
  </si>
  <si>
    <t>Х6</t>
  </si>
  <si>
    <t>Координаты точки пересечения радиусов ra и rb относительно центра колибра.</t>
  </si>
  <si>
    <t>Y1</t>
  </si>
  <si>
    <t>Y2</t>
  </si>
  <si>
    <t>Y3</t>
  </si>
  <si>
    <t>Y4</t>
  </si>
  <si>
    <t>Y5</t>
  </si>
  <si>
    <t>Y6</t>
  </si>
  <si>
    <t>Программа расчетов роликов:</t>
  </si>
  <si>
    <t>Гориз. валки:</t>
  </si>
  <si>
    <t>d1г</t>
  </si>
  <si>
    <t>d2г</t>
  </si>
  <si>
    <t>d3г</t>
  </si>
  <si>
    <t>d4г</t>
  </si>
  <si>
    <t>d5г</t>
  </si>
  <si>
    <t>d6г</t>
  </si>
  <si>
    <t>d1г-b1</t>
  </si>
  <si>
    <t>d2г-b2</t>
  </si>
  <si>
    <t>d3г-b3</t>
  </si>
  <si>
    <t>d4г-b4</t>
  </si>
  <si>
    <t>d5г-b5</t>
  </si>
  <si>
    <t>d6г-b6</t>
  </si>
  <si>
    <t>а`1</t>
  </si>
  <si>
    <t>а`2</t>
  </si>
  <si>
    <t>а`3</t>
  </si>
  <si>
    <t>а`4</t>
  </si>
  <si>
    <t>а`5</t>
  </si>
  <si>
    <t>а`6</t>
  </si>
  <si>
    <t>Вертикальные:</t>
  </si>
  <si>
    <t>d1в</t>
  </si>
  <si>
    <t>d2в</t>
  </si>
  <si>
    <t>d3в</t>
  </si>
  <si>
    <t>d4в</t>
  </si>
  <si>
    <t>d5в</t>
  </si>
  <si>
    <t>d6в</t>
  </si>
  <si>
    <t>d1в-а1</t>
  </si>
  <si>
    <t>d2в-а2</t>
  </si>
  <si>
    <t>d3в-а3</t>
  </si>
  <si>
    <t>d4в-а4</t>
  </si>
  <si>
    <t>d5в-а5</t>
  </si>
  <si>
    <t>d6в-а6</t>
  </si>
  <si>
    <t>в`1</t>
  </si>
  <si>
    <t>в`2</t>
  </si>
  <si>
    <t>в`3</t>
  </si>
  <si>
    <t>в`4</t>
  </si>
  <si>
    <t>в`5</t>
  </si>
  <si>
    <t>в`6</t>
  </si>
  <si>
    <t>Прогиб (глубина ручья):</t>
  </si>
  <si>
    <t>Н(а)0</t>
  </si>
  <si>
    <t>Н(а)1</t>
  </si>
  <si>
    <t>Н(а)2</t>
  </si>
  <si>
    <t>Н(а)3</t>
  </si>
  <si>
    <t>Н(а)4</t>
  </si>
  <si>
    <t>Н(а)5</t>
  </si>
  <si>
    <t>Н(а)6</t>
  </si>
  <si>
    <t>Н(в)1</t>
  </si>
  <si>
    <t>Н(в)2</t>
  </si>
  <si>
    <t>Н(в)3</t>
  </si>
  <si>
    <t>Н(в)4</t>
  </si>
  <si>
    <t>Н(в)5</t>
  </si>
  <si>
    <t>Н(в)6</t>
  </si>
  <si>
    <t>Расчет диаметров валков:</t>
  </si>
  <si>
    <t>Горизонтальные:</t>
  </si>
  <si>
    <t>М1</t>
  </si>
  <si>
    <t>М2</t>
  </si>
  <si>
    <t>М3</t>
  </si>
  <si>
    <t>М4</t>
  </si>
  <si>
    <t>М5</t>
  </si>
  <si>
    <t>М6</t>
  </si>
  <si>
    <t>М1/1</t>
  </si>
  <si>
    <t>М2/М1</t>
  </si>
  <si>
    <t>М3/М2</t>
  </si>
  <si>
    <t>М4/М3</t>
  </si>
  <si>
    <t>М5/М4</t>
  </si>
  <si>
    <t>М6/М5</t>
  </si>
  <si>
    <t>Д0.к</t>
  </si>
  <si>
    <t>Дк1</t>
  </si>
  <si>
    <t>Дк2</t>
  </si>
  <si>
    <t>Дк3</t>
  </si>
  <si>
    <t>Дк4</t>
  </si>
  <si>
    <t>Дк5</t>
  </si>
  <si>
    <t>Дк6</t>
  </si>
  <si>
    <t>Д.г.maх0</t>
  </si>
  <si>
    <t>Д.г.maх1</t>
  </si>
  <si>
    <t>Д.г.maх2</t>
  </si>
  <si>
    <t>Д.г.maх3</t>
  </si>
  <si>
    <t>Д.г.maх4</t>
  </si>
  <si>
    <t>Д.г.maх5</t>
  </si>
  <si>
    <t>Д.г.maх6</t>
  </si>
  <si>
    <t>Д.г.min0</t>
  </si>
  <si>
    <t>Д.г.min1</t>
  </si>
  <si>
    <t>Д.г.min2</t>
  </si>
  <si>
    <t>Д.г.min3</t>
  </si>
  <si>
    <t>Д.г.min4</t>
  </si>
  <si>
    <t>Д.г.min5</t>
  </si>
  <si>
    <t>Д.г.min6</t>
  </si>
  <si>
    <t>Д.в.мах.1</t>
  </si>
  <si>
    <t>Д.в.мах.2</t>
  </si>
  <si>
    <t>Д.в.мах.3</t>
  </si>
  <si>
    <t>Д.в.мах.4</t>
  </si>
  <si>
    <t>Д.в.мах.5</t>
  </si>
  <si>
    <t>Д.в.мах.6</t>
  </si>
  <si>
    <t>Д.в.мin.1</t>
  </si>
  <si>
    <t>Д.в.мin.2</t>
  </si>
  <si>
    <t>Д.в.мin.3</t>
  </si>
  <si>
    <t>Д.в.мin.4</t>
  </si>
  <si>
    <t>Д.в.мin.5</t>
  </si>
  <si>
    <t>Д.в.мin.6</t>
  </si>
  <si>
    <t>Определение параметров нулевой клети (задающая):</t>
  </si>
  <si>
    <t>Определение радиуса калибра горизонтального валка:</t>
  </si>
  <si>
    <t>В0</t>
  </si>
  <si>
    <t>Бетта0</t>
  </si>
  <si>
    <t>ДВ0</t>
  </si>
  <si>
    <t>R0</t>
  </si>
  <si>
    <t>А0</t>
  </si>
  <si>
    <t>r0</t>
  </si>
  <si>
    <t>d0</t>
  </si>
  <si>
    <t>a0</t>
  </si>
  <si>
    <t>b0</t>
  </si>
  <si>
    <t>B0</t>
  </si>
  <si>
    <t>-высота профиля с учетом выпуклостей (0-кл.).</t>
  </si>
  <si>
    <t>A0</t>
  </si>
  <si>
    <t>-ширина профиля с учетом выпуклостей (0-кл.).</t>
  </si>
  <si>
    <t>-обжатие в клети.</t>
  </si>
  <si>
    <t>-радиус вогнутости валка.</t>
  </si>
  <si>
    <t>-малый радиус овальной трубы в задающей (в нулевой) клети.</t>
  </si>
  <si>
    <t>-ширина рабочей части валка.</t>
  </si>
  <si>
    <t>-точка смещения центра радиуса калибра (глубина вреза калибра).</t>
  </si>
  <si>
    <t>Н0</t>
  </si>
  <si>
    <t>-глубина вреза калибра.</t>
  </si>
  <si>
    <t>Определение силовых параметров:</t>
  </si>
  <si>
    <t>Длинна очага деформации, мм. :</t>
  </si>
  <si>
    <t>L0</t>
  </si>
  <si>
    <t>L1</t>
  </si>
  <si>
    <t>L2</t>
  </si>
  <si>
    <t>L3</t>
  </si>
  <si>
    <t>L4</t>
  </si>
  <si>
    <t>L5</t>
  </si>
  <si>
    <t>Давление металла на валки (усилие прокатки), т. :</t>
  </si>
  <si>
    <t>Р0</t>
  </si>
  <si>
    <t>Р1</t>
  </si>
  <si>
    <t>Р2</t>
  </si>
  <si>
    <t>Р3</t>
  </si>
  <si>
    <t>Р4</t>
  </si>
  <si>
    <t>Р5</t>
  </si>
  <si>
    <t>Угол захвата, грд.:</t>
  </si>
  <si>
    <r>
      <rPr>
        <b/>
        <sz val="14"/>
        <rFont val="GreekC"/>
        <charset val="204"/>
      </rPr>
      <t>a</t>
    </r>
    <r>
      <rPr>
        <b/>
        <sz val="9"/>
        <rFont val="GreekC"/>
        <charset val="204"/>
      </rPr>
      <t>0</t>
    </r>
  </si>
  <si>
    <r>
      <rPr>
        <b/>
        <sz val="14"/>
        <rFont val="GreekC"/>
        <charset val="204"/>
      </rPr>
      <t>a</t>
    </r>
    <r>
      <rPr>
        <b/>
        <sz val="9"/>
        <rFont val="GreekC"/>
        <charset val="204"/>
      </rPr>
      <t>1</t>
    </r>
  </si>
  <si>
    <r>
      <rPr>
        <b/>
        <sz val="14"/>
        <rFont val="GreekC"/>
        <charset val="204"/>
      </rPr>
      <t>a</t>
    </r>
    <r>
      <rPr>
        <b/>
        <sz val="9"/>
        <rFont val="GreekC"/>
        <charset val="204"/>
      </rPr>
      <t>2</t>
    </r>
  </si>
  <si>
    <r>
      <rPr>
        <b/>
        <sz val="14"/>
        <rFont val="GreekC"/>
        <charset val="204"/>
      </rPr>
      <t>a</t>
    </r>
    <r>
      <rPr>
        <b/>
        <sz val="9"/>
        <rFont val="GreekC"/>
        <charset val="204"/>
      </rPr>
      <t>3</t>
    </r>
  </si>
  <si>
    <r>
      <rPr>
        <b/>
        <sz val="14"/>
        <rFont val="GreekC"/>
        <charset val="204"/>
      </rPr>
      <t>a</t>
    </r>
    <r>
      <rPr>
        <b/>
        <sz val="9"/>
        <rFont val="GreekC"/>
        <charset val="204"/>
      </rPr>
      <t>4</t>
    </r>
  </si>
  <si>
    <r>
      <rPr>
        <b/>
        <sz val="14"/>
        <rFont val="GreekC"/>
        <charset val="204"/>
      </rPr>
      <t>a</t>
    </r>
    <r>
      <rPr>
        <b/>
        <sz val="9"/>
        <rFont val="GreekC"/>
        <charset val="204"/>
      </rPr>
      <t>5</t>
    </r>
  </si>
  <si>
    <t>Момент прокатки, Кг*м:</t>
  </si>
  <si>
    <t>Мпр.0</t>
  </si>
  <si>
    <t>Мпр.1</t>
  </si>
  <si>
    <t>Мпр.2</t>
  </si>
  <si>
    <t>Мпр.3</t>
  </si>
  <si>
    <t>Мпр.4</t>
  </si>
  <si>
    <t>Мпр.5</t>
  </si>
  <si>
    <t>Число оборотов валков, об./мин. :</t>
  </si>
  <si>
    <r>
      <rPr>
        <b/>
        <sz val="11"/>
        <rFont val="Arial Cyr"/>
        <charset val="204"/>
      </rPr>
      <t>n</t>
    </r>
    <r>
      <rPr>
        <b/>
        <sz val="9"/>
        <rFont val="Arial Cyr"/>
        <charset val="204"/>
      </rPr>
      <t>0</t>
    </r>
  </si>
  <si>
    <r>
      <rPr>
        <b/>
        <sz val="11"/>
        <rFont val="Arial Cyr"/>
        <charset val="204"/>
      </rPr>
      <t>n</t>
    </r>
    <r>
      <rPr>
        <b/>
        <sz val="9"/>
        <rFont val="Arial Cyr"/>
        <charset val="204"/>
      </rPr>
      <t>1</t>
    </r>
  </si>
  <si>
    <r>
      <rPr>
        <b/>
        <sz val="11"/>
        <rFont val="Arial Cyr"/>
        <charset val="204"/>
      </rPr>
      <t>n</t>
    </r>
    <r>
      <rPr>
        <b/>
        <sz val="9"/>
        <rFont val="Arial Cyr"/>
        <charset val="204"/>
      </rPr>
      <t>2</t>
    </r>
  </si>
  <si>
    <r>
      <rPr>
        <b/>
        <sz val="11"/>
        <rFont val="Arial Cyr"/>
        <charset val="204"/>
      </rPr>
      <t>n</t>
    </r>
    <r>
      <rPr>
        <b/>
        <sz val="9"/>
        <rFont val="Arial Cyr"/>
        <charset val="204"/>
      </rPr>
      <t>3</t>
    </r>
  </si>
  <si>
    <r>
      <rPr>
        <b/>
        <sz val="11"/>
        <rFont val="Arial Cyr"/>
        <charset val="204"/>
      </rPr>
      <t>n</t>
    </r>
    <r>
      <rPr>
        <b/>
        <sz val="9"/>
        <rFont val="Arial Cyr"/>
        <charset val="204"/>
      </rPr>
      <t>4</t>
    </r>
  </si>
  <si>
    <r>
      <rPr>
        <b/>
        <sz val="11"/>
        <rFont val="Arial Cyr"/>
        <charset val="204"/>
      </rPr>
      <t>n</t>
    </r>
    <r>
      <rPr>
        <b/>
        <sz val="9"/>
        <rFont val="Arial Cyr"/>
        <charset val="204"/>
      </rPr>
      <t>5</t>
    </r>
  </si>
  <si>
    <t>Мощность двигателя, кВт. :</t>
  </si>
  <si>
    <r>
      <rPr>
        <b/>
        <sz val="11"/>
        <rFont val="Arial Cyr"/>
        <charset val="204"/>
      </rPr>
      <t>N</t>
    </r>
    <r>
      <rPr>
        <sz val="9"/>
        <rFont val="Arial Cyr"/>
        <charset val="204"/>
      </rPr>
      <t>дв.0</t>
    </r>
  </si>
  <si>
    <r>
      <rPr>
        <b/>
        <sz val="11"/>
        <rFont val="Arial Cyr"/>
        <charset val="204"/>
      </rPr>
      <t>N</t>
    </r>
    <r>
      <rPr>
        <sz val="9"/>
        <rFont val="Arial Cyr"/>
        <charset val="204"/>
      </rPr>
      <t>дв.1</t>
    </r>
  </si>
  <si>
    <r>
      <rPr>
        <b/>
        <sz val="11"/>
        <rFont val="Arial Cyr"/>
        <charset val="204"/>
      </rPr>
      <t>N</t>
    </r>
    <r>
      <rPr>
        <sz val="9"/>
        <rFont val="Arial Cyr"/>
        <charset val="204"/>
      </rPr>
      <t>дв.2</t>
    </r>
  </si>
  <si>
    <r>
      <rPr>
        <b/>
        <sz val="11"/>
        <rFont val="Arial Cyr"/>
        <charset val="204"/>
      </rPr>
      <t>N</t>
    </r>
    <r>
      <rPr>
        <sz val="9"/>
        <rFont val="Arial Cyr"/>
        <charset val="204"/>
      </rPr>
      <t>дв.3</t>
    </r>
  </si>
  <si>
    <r>
      <rPr>
        <b/>
        <sz val="11"/>
        <rFont val="Arial Cyr"/>
        <charset val="204"/>
      </rPr>
      <t>N</t>
    </r>
    <r>
      <rPr>
        <sz val="9"/>
        <rFont val="Arial Cyr"/>
        <charset val="204"/>
      </rPr>
      <t>дв.4</t>
    </r>
  </si>
  <si>
    <r>
      <rPr>
        <b/>
        <sz val="11"/>
        <rFont val="Arial Cyr"/>
        <charset val="204"/>
      </rPr>
      <t>N</t>
    </r>
    <r>
      <rPr>
        <sz val="9"/>
        <rFont val="Arial Cyr"/>
        <charset val="204"/>
      </rPr>
      <t>дв.5</t>
    </r>
  </si>
  <si>
    <t>Расчёт коэфф. Скорости</t>
  </si>
  <si>
    <t>Диаметр катающий</t>
  </si>
  <si>
    <t>Отношение катающих диаметров</t>
  </si>
  <si>
    <t>Дк1/Дк2</t>
  </si>
  <si>
    <t>Дк2/Дк3</t>
  </si>
  <si>
    <t>Дк3/Дк4</t>
  </si>
  <si>
    <t>Дк4/Дк5</t>
  </si>
  <si>
    <t>Дк5/Дк6</t>
  </si>
  <si>
    <t>Абсолютное обжатие</t>
  </si>
  <si>
    <t>В процентах</t>
  </si>
  <si>
    <t>Коэфф. Удлинения</t>
  </si>
  <si>
    <t>Коэфф.</t>
  </si>
  <si>
    <t>Коэфф. Скорости</t>
  </si>
  <si>
    <t>Кс2</t>
  </si>
  <si>
    <t>Кс3</t>
  </si>
  <si>
    <t>Кс4</t>
  </si>
  <si>
    <t>Кс5</t>
  </si>
  <si>
    <t>Кс6</t>
  </si>
  <si>
    <t>Расчёт периметра калибра</t>
  </si>
  <si>
    <t>Координаты по оси</t>
  </si>
  <si>
    <t>У1, к1</t>
  </si>
  <si>
    <t>У1, к2</t>
  </si>
  <si>
    <t>У1, к3</t>
  </si>
  <si>
    <t>У1, к4</t>
  </si>
  <si>
    <t>У1, к5</t>
  </si>
  <si>
    <t>У1, к6</t>
  </si>
  <si>
    <t>Х1, к1</t>
  </si>
  <si>
    <t>Х1, к2</t>
  </si>
  <si>
    <t>Х1, к3</t>
  </si>
  <si>
    <t>Х1, к4</t>
  </si>
  <si>
    <t>Х1, к5</t>
  </si>
  <si>
    <t>Х1, к6</t>
  </si>
  <si>
    <t>Расстояние между точками окружностей</t>
  </si>
  <si>
    <t>СИГ, 1</t>
  </si>
  <si>
    <t>СИГ, 2</t>
  </si>
  <si>
    <t>СИГ, 3</t>
  </si>
  <si>
    <t>СИГ, 4</t>
  </si>
  <si>
    <t>СИГ, 5</t>
  </si>
  <si>
    <t>СИГ, 6</t>
  </si>
  <si>
    <t>Угол А и В</t>
  </si>
  <si>
    <t>А1</t>
  </si>
  <si>
    <t>А2</t>
  </si>
  <si>
    <t>А3</t>
  </si>
  <si>
    <t>А4</t>
  </si>
  <si>
    <t>А5</t>
  </si>
  <si>
    <t>А6</t>
  </si>
  <si>
    <t>В1</t>
  </si>
  <si>
    <t>В2</t>
  </si>
  <si>
    <t>В3</t>
  </si>
  <si>
    <t>В4</t>
  </si>
  <si>
    <t>В5</t>
  </si>
  <si>
    <t>В6</t>
  </si>
  <si>
    <t>Перпендикуляр к основанию</t>
  </si>
  <si>
    <t>С1</t>
  </si>
  <si>
    <t>С2</t>
  </si>
  <si>
    <t>С 3</t>
  </si>
  <si>
    <t>С4</t>
  </si>
  <si>
    <t>С 5</t>
  </si>
  <si>
    <t>С 6</t>
  </si>
  <si>
    <t xml:space="preserve">Координаты точки делящей расстояние между центрами </t>
  </si>
  <si>
    <t>окружностей попалам</t>
  </si>
  <si>
    <t>у1, к1</t>
  </si>
  <si>
    <t>у1, к2</t>
  </si>
  <si>
    <t>у1, к3</t>
  </si>
  <si>
    <t>у1, к4</t>
  </si>
  <si>
    <t>у1, к5</t>
  </si>
  <si>
    <t>у1, к6</t>
  </si>
  <si>
    <t>х1, к1</t>
  </si>
  <si>
    <t>х1, к2</t>
  </si>
  <si>
    <t>х1, к3</t>
  </si>
  <si>
    <t>х1, к4</t>
  </si>
  <si>
    <t>х1, к5</t>
  </si>
  <si>
    <t>х1, к6</t>
  </si>
  <si>
    <t>Два катета У и Х</t>
  </si>
  <si>
    <t>у, к1</t>
  </si>
  <si>
    <t>у, к2</t>
  </si>
  <si>
    <t>у. к3</t>
  </si>
  <si>
    <t>у, к4</t>
  </si>
  <si>
    <t>у, к5</t>
  </si>
  <si>
    <t>у, к6</t>
  </si>
  <si>
    <t>х, к1</t>
  </si>
  <si>
    <t>х, к2</t>
  </si>
  <si>
    <t>х, к3</t>
  </si>
  <si>
    <t>х, к4</t>
  </si>
  <si>
    <t>х, к5</t>
  </si>
  <si>
    <t>х, к6</t>
  </si>
  <si>
    <t>Координаты точки</t>
  </si>
  <si>
    <t>у2, к1</t>
  </si>
  <si>
    <t>у2, к2</t>
  </si>
  <si>
    <t>у2, к3</t>
  </si>
  <si>
    <t>у2. к4</t>
  </si>
  <si>
    <t>у2, к5</t>
  </si>
  <si>
    <t>у2, к6</t>
  </si>
  <si>
    <t>х2, к1</t>
  </si>
  <si>
    <t>х2, к2</t>
  </si>
  <si>
    <t>х2, к3</t>
  </si>
  <si>
    <t>х2, к4</t>
  </si>
  <si>
    <t>х2, к5</t>
  </si>
  <si>
    <t>х2, к6</t>
  </si>
  <si>
    <r>
      <rPr>
        <b/>
        <sz val="11"/>
        <rFont val="Calibri"/>
        <charset val="204"/>
      </rPr>
      <t>Д</t>
    </r>
    <r>
      <rPr>
        <b/>
        <vertAlign val="subscript"/>
        <sz val="11"/>
        <rFont val="Calibri"/>
        <charset val="204"/>
      </rPr>
      <t>мин,</t>
    </r>
  </si>
  <si>
    <t>Кл.</t>
  </si>
  <si>
    <t>R,</t>
  </si>
  <si>
    <r>
      <rPr>
        <b/>
        <sz val="11"/>
        <rFont val="Calibri"/>
        <charset val="204"/>
      </rPr>
      <t>H</t>
    </r>
    <r>
      <rPr>
        <b/>
        <vertAlign val="subscript"/>
        <sz val="11"/>
        <rFont val="Calibri"/>
        <charset val="204"/>
      </rPr>
      <t>к,</t>
    </r>
  </si>
  <si>
    <r>
      <rPr>
        <b/>
        <sz val="11"/>
        <rFont val="Calibri"/>
        <charset val="204"/>
      </rPr>
      <t>В</t>
    </r>
    <r>
      <rPr>
        <b/>
        <vertAlign val="subscript"/>
        <sz val="11"/>
        <rFont val="Calibri"/>
        <charset val="204"/>
      </rPr>
      <t>р,</t>
    </r>
  </si>
  <si>
    <t>Длина бочки ВГ</t>
  </si>
  <si>
    <r>
      <rPr>
        <b/>
        <sz val="11"/>
        <rFont val="Calibri"/>
        <charset val="204"/>
      </rPr>
      <t>Условный тип ГВ 100 х 100;  Ф</t>
    </r>
    <r>
      <rPr>
        <b/>
        <vertAlign val="subscript"/>
        <sz val="11"/>
        <rFont val="Calibri"/>
        <charset val="204"/>
      </rPr>
      <t>6кл</t>
    </r>
    <r>
      <rPr>
        <b/>
        <sz val="11"/>
        <rFont val="Calibri"/>
        <charset val="204"/>
      </rPr>
      <t>=600мм; L</t>
    </r>
    <r>
      <rPr>
        <b/>
        <vertAlign val="subscript"/>
        <sz val="11"/>
        <rFont val="Calibri"/>
        <charset val="204"/>
      </rPr>
      <t>бч</t>
    </r>
    <r>
      <rPr>
        <b/>
        <sz val="11"/>
        <rFont val="Calibri"/>
        <charset val="204"/>
      </rPr>
      <t>=115мм;</t>
    </r>
  </si>
  <si>
    <t>∞</t>
  </si>
  <si>
    <r>
      <rPr>
        <b/>
        <sz val="11"/>
        <rFont val="Calibri"/>
        <charset val="204"/>
      </rPr>
      <t>Условный тип ГВ 150 х 100;  Ф</t>
    </r>
    <r>
      <rPr>
        <b/>
        <vertAlign val="subscript"/>
        <sz val="11"/>
        <rFont val="Calibri"/>
        <charset val="204"/>
      </rPr>
      <t>6кл</t>
    </r>
    <r>
      <rPr>
        <b/>
        <sz val="11"/>
        <rFont val="Calibri"/>
        <charset val="204"/>
      </rPr>
      <t>=570мм; L</t>
    </r>
    <r>
      <rPr>
        <b/>
        <vertAlign val="subscript"/>
        <sz val="11"/>
        <rFont val="Calibri"/>
        <charset val="204"/>
      </rPr>
      <t>бч</t>
    </r>
    <r>
      <rPr>
        <b/>
        <sz val="11"/>
        <rFont val="Calibri"/>
        <charset val="204"/>
      </rPr>
      <t>=160мм;</t>
    </r>
  </si>
  <si>
    <r>
      <rPr>
        <b/>
        <sz val="11"/>
        <rFont val="Calibri"/>
        <charset val="204"/>
      </rPr>
      <t>Условный тип ГВ 200Х200; Ф</t>
    </r>
    <r>
      <rPr>
        <b/>
        <vertAlign val="subscript"/>
        <sz val="11"/>
        <rFont val="Calibri"/>
        <charset val="204"/>
      </rPr>
      <t>6кл</t>
    </r>
    <r>
      <rPr>
        <b/>
        <sz val="11"/>
        <rFont val="Calibri"/>
        <charset val="204"/>
      </rPr>
      <t>=520мм; L</t>
    </r>
    <r>
      <rPr>
        <b/>
        <vertAlign val="subscript"/>
        <sz val="11"/>
        <rFont val="Calibri"/>
        <charset val="204"/>
      </rPr>
      <t>бч</t>
    </r>
    <r>
      <rPr>
        <b/>
        <sz val="11"/>
        <rFont val="Calibri"/>
        <charset val="204"/>
      </rPr>
      <t>=220мм;</t>
    </r>
  </si>
  <si>
    <r>
      <rPr>
        <b/>
        <sz val="11"/>
        <rFont val="Calibri"/>
        <charset val="204"/>
      </rPr>
      <t>Условный тип ГВ 300Х80; Ф</t>
    </r>
    <r>
      <rPr>
        <b/>
        <vertAlign val="subscript"/>
        <sz val="11"/>
        <rFont val="Calibri"/>
        <charset val="204"/>
      </rPr>
      <t>6кл</t>
    </r>
    <r>
      <rPr>
        <b/>
        <sz val="11"/>
        <rFont val="Calibri"/>
        <charset val="204"/>
      </rPr>
      <t>=590мм; L</t>
    </r>
    <r>
      <rPr>
        <b/>
        <vertAlign val="subscript"/>
        <sz val="11"/>
        <rFont val="Calibri"/>
        <charset val="204"/>
      </rPr>
      <t>бч</t>
    </r>
    <r>
      <rPr>
        <b/>
        <sz val="11"/>
        <rFont val="Calibri"/>
        <charset val="204"/>
      </rPr>
      <t>=300мм</t>
    </r>
  </si>
  <si>
    <t>9⁰</t>
  </si>
  <si>
    <r>
      <rPr>
        <b/>
        <sz val="11"/>
        <rFont val="Calibri"/>
        <charset val="204"/>
      </rPr>
      <t>Условный тип ГВ 400Х100; Ф</t>
    </r>
    <r>
      <rPr>
        <b/>
        <vertAlign val="subscript"/>
        <sz val="11"/>
        <rFont val="Calibri"/>
        <charset val="204"/>
      </rPr>
      <t>6кл</t>
    </r>
    <r>
      <rPr>
        <b/>
        <sz val="11"/>
        <rFont val="Calibri"/>
        <charset val="204"/>
      </rPr>
      <t>=590мм; L</t>
    </r>
    <r>
      <rPr>
        <b/>
        <vertAlign val="subscript"/>
        <sz val="11"/>
        <rFont val="Calibri"/>
        <charset val="204"/>
      </rPr>
      <t>бч</t>
    </r>
    <r>
      <rPr>
        <b/>
        <sz val="11"/>
        <rFont val="Calibri"/>
        <charset val="204"/>
      </rPr>
      <t>=400мм</t>
    </r>
  </si>
  <si>
    <t>7⁰</t>
  </si>
  <si>
    <t>5⁰</t>
  </si>
  <si>
    <t>3⁰</t>
  </si>
  <si>
    <t>1⁰</t>
  </si>
  <si>
    <t>0⁰</t>
  </si>
  <si>
    <r>
      <rPr>
        <b/>
        <sz val="11"/>
        <rFont val="Calibri"/>
        <charset val="204"/>
      </rPr>
      <t>Условный тип ГВ 400Х400; Ф</t>
    </r>
    <r>
      <rPr>
        <b/>
        <vertAlign val="subscript"/>
        <sz val="11"/>
        <rFont val="Calibri"/>
        <charset val="204"/>
      </rPr>
      <t>6кл</t>
    </r>
    <r>
      <rPr>
        <b/>
        <sz val="11"/>
        <rFont val="Calibri"/>
        <charset val="204"/>
      </rPr>
      <t>=460мм; L</t>
    </r>
    <r>
      <rPr>
        <b/>
        <vertAlign val="subscript"/>
        <sz val="11"/>
        <rFont val="Calibri"/>
        <charset val="204"/>
      </rPr>
      <t>бч</t>
    </r>
    <r>
      <rPr>
        <b/>
        <sz val="11"/>
        <rFont val="Calibri"/>
        <charset val="204"/>
      </rPr>
      <t>=400мм</t>
    </r>
  </si>
  <si>
    <t>Обозначение</t>
  </si>
  <si>
    <r>
      <rPr>
        <b/>
        <sz val="11"/>
        <rFont val="Calibri"/>
        <charset val="204"/>
      </rPr>
      <t>Д</t>
    </r>
    <r>
      <rPr>
        <b/>
        <vertAlign val="subscript"/>
        <sz val="11"/>
        <rFont val="Calibri"/>
        <charset val="204"/>
      </rPr>
      <t>макс,</t>
    </r>
  </si>
  <si>
    <t>R, мм</t>
  </si>
  <si>
    <t>Количество</t>
  </si>
  <si>
    <t>УПС.09.УВ2И-80</t>
  </si>
  <si>
    <t>УПС.09.УВ2-80</t>
  </si>
  <si>
    <t>УПС.09.УВ2-100</t>
  </si>
  <si>
    <t>УПС.09.УВ2-105</t>
  </si>
  <si>
    <t>УПС.09.УВ2-115</t>
  </si>
  <si>
    <t>УПС.09.УВ3И-80</t>
  </si>
  <si>
    <t>УПС.09.УВ3И-95</t>
  </si>
  <si>
    <t>УПС.09.УВ3-75</t>
  </si>
  <si>
    <t>УПС.09.УВ3-80</t>
  </si>
  <si>
    <t>УПС.09.УВ3-95</t>
  </si>
  <si>
    <t>УПС.09.УВ3-100</t>
  </si>
  <si>
    <t>УПС.09.УВ3-115</t>
  </si>
  <si>
    <t>УПС.09.УВ3-125</t>
  </si>
  <si>
    <t>УПС.09.УВ3-135</t>
  </si>
  <si>
    <t>УПС.09.УВ3-145</t>
  </si>
  <si>
    <t>УПС.ВУ.09.75-03</t>
  </si>
  <si>
    <t>УПС.ВУ.09.85-03</t>
  </si>
  <si>
    <t>УПС.ВУ.09.95-03</t>
  </si>
  <si>
    <t>3B-80</t>
  </si>
  <si>
    <t>УПС.10.520-3</t>
  </si>
  <si>
    <t>УПС.10.520-3-01</t>
  </si>
  <si>
    <t>УПС.10.520-3-02</t>
  </si>
  <si>
    <t>УПС.09.УВ4И-80</t>
  </si>
  <si>
    <t>УПС.09.УВ4И-95</t>
  </si>
  <si>
    <t>УПС.09.УВ4И-115</t>
  </si>
  <si>
    <t>УПС.09.УВ4И-125</t>
  </si>
  <si>
    <t>УПС.09.УВ4И-145</t>
  </si>
  <si>
    <t>УПС.09.УВ4И-155</t>
  </si>
  <si>
    <t>УПС.09.УВ4-75</t>
  </si>
  <si>
    <t>УПС.09.УВ4-80</t>
  </si>
  <si>
    <t>УПС.09.УВ4-95</t>
  </si>
  <si>
    <t>УПС.09.УВ4-115</t>
  </si>
  <si>
    <t>УПС.09.УВ4-145</t>
  </si>
  <si>
    <t>УПС.ВУ.09.75-04</t>
  </si>
  <si>
    <t>УПС.ВУ.09.80-04</t>
  </si>
  <si>
    <t>УПС.ВУ.09.85-04</t>
  </si>
  <si>
    <t>УПС.ВУ.09.95-04</t>
  </si>
  <si>
    <t>УПС.ВУ.09.105-04</t>
  </si>
  <si>
    <t>4B-80</t>
  </si>
  <si>
    <t>УПС.10.520-4</t>
  </si>
  <si>
    <t>УПС.10.520-4-01</t>
  </si>
  <si>
    <t>УПС.10.520-4-02</t>
  </si>
  <si>
    <t>УПС.10.520-4-03</t>
  </si>
  <si>
    <t>УПС.10.520-4-04</t>
  </si>
  <si>
    <t>5B-80</t>
  </si>
  <si>
    <t>6B-80</t>
  </si>
  <si>
    <t>5-6</t>
  </si>
  <si>
    <t>УПС.10.520-6</t>
  </si>
  <si>
    <t>УПС.10.520-6-01</t>
  </si>
  <si>
    <t>УПС.10.520-6-02</t>
  </si>
  <si>
    <t>Условный тип ГВ 100 х 100;  Ø 6 кл = 600мм; Lбч = 115мм;</t>
  </si>
  <si>
    <t>Условный тип ГВ 150 х 100;  Ø 6 кл = 570мм; Lбч = 160мм;</t>
  </si>
  <si>
    <t>Условный тип ГВ 200 Х 200; Ø 6 кл = 520мм; Lбч = 220мм;</t>
  </si>
  <si>
    <t>Условный тип ГВ 300 Х 80; Ø 6 кл = 590мм; Lбч = 300мм</t>
  </si>
  <si>
    <t>Условный тип ГВ 400 Х 100; Ф6кл = 590мм; Lбч = 400мм</t>
  </si>
  <si>
    <t>Условный тип ГВ 400 Х 400; Ø 6 кл = 460мм; Lбч = 400мм</t>
  </si>
  <si>
    <t>Диаметры труб круглого сечения</t>
  </si>
  <si>
    <t>Кассета серая</t>
  </si>
  <si>
    <t>Касета красная</t>
  </si>
  <si>
    <t>Новая</t>
  </si>
  <si>
    <t>Старая</t>
  </si>
  <si>
    <t>220С</t>
  </si>
  <si>
    <t>270С</t>
  </si>
  <si>
    <t>360С</t>
  </si>
  <si>
    <t>420С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</si>
</sst>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-* #,##0_-;\-* #,##0_-;_-* &quot;-&quot;_-;_-@_-"/>
    <numFmt numFmtId="176" formatCode="_-* #,##0.00_р_._-;\-* #,##0.00_р_._-;_-* &quot;-&quot;??_р_._-;_-@_-"/>
    <numFmt numFmtId="177" formatCode="_-* #,##0.00\ &quot;₽&quot;_-;\-* #,##0.00\ &quot;₽&quot;_-;_-* &quot;-&quot;??\ &quot;₽&quot;_-;_-@_-"/>
    <numFmt numFmtId="178" formatCode="_-* #,##0\ &quot;₽&quot;_-;\-* #,##0\ &quot;₽&quot;_-;_-* &quot;-&quot;\ &quot;₽&quot;_-;_-@_-"/>
    <numFmt numFmtId="179" formatCode="mmm\.yy"/>
    <numFmt numFmtId="180" formatCode="0.0"/>
    <numFmt numFmtId="181" formatCode="#,##0.000"/>
    <numFmt numFmtId="182" formatCode="0.000"/>
    <numFmt numFmtId="183" formatCode="#,##0.0000"/>
    <numFmt numFmtId="184" formatCode="0.0000"/>
    <numFmt numFmtId="185" formatCode="0.00000"/>
    <numFmt numFmtId="186" formatCode="_-* #,##0.000_р_._-;\-* #,##0.000_р_._-;_-* &quot;-&quot;??_р_._-;_-@_-"/>
    <numFmt numFmtId="187" formatCode="dd\.mm\.yyyy"/>
    <numFmt numFmtId="188" formatCode="dd\.mm\.yyyy\ h:mm"/>
  </numFmts>
  <fonts count="101">
    <font>
      <sz val="10"/>
      <name val="Arial Cyr"/>
      <charset val="134"/>
    </font>
    <font>
      <b/>
      <i/>
      <sz val="11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b/>
      <sz val="11"/>
      <name val="Calibri"/>
      <charset val="204"/>
    </font>
    <font>
      <i/>
      <sz val="11"/>
      <name val="Calibri"/>
      <charset val="204"/>
    </font>
    <font>
      <b/>
      <i/>
      <sz val="11"/>
      <name val="Calibri"/>
      <charset val="204"/>
    </font>
    <font>
      <b/>
      <u/>
      <sz val="16"/>
      <name val="Arial Cyr"/>
      <charset val="204"/>
    </font>
    <font>
      <b/>
      <sz val="16"/>
      <name val="Arial Cyr"/>
      <charset val="204"/>
    </font>
    <font>
      <b/>
      <sz val="14"/>
      <name val="Arial Cyr"/>
      <charset val="204"/>
    </font>
    <font>
      <b/>
      <i/>
      <sz val="14"/>
      <name val="GreekC"/>
      <charset val="204"/>
    </font>
    <font>
      <b/>
      <i/>
      <u/>
      <sz val="12"/>
      <name val="Arial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b/>
      <i/>
      <sz val="14"/>
      <name val="Arial Cyr"/>
      <charset val="204"/>
    </font>
    <font>
      <b/>
      <i/>
      <sz val="12"/>
      <name val="Arial Cyr"/>
      <charset val="204"/>
    </font>
    <font>
      <b/>
      <i/>
      <sz val="16"/>
      <name val="Arial Cyr"/>
      <charset val="204"/>
    </font>
    <font>
      <sz val="12"/>
      <name val="Arial Cyr"/>
      <charset val="204"/>
    </font>
    <font>
      <b/>
      <i/>
      <sz val="12"/>
      <color indexed="10"/>
      <name val="Arial Cyr"/>
      <charset val="204"/>
    </font>
    <font>
      <b/>
      <sz val="10"/>
      <color indexed="8"/>
      <name val="Arial Cyr"/>
      <charset val="204"/>
    </font>
    <font>
      <sz val="14"/>
      <name val="Arial Cyr"/>
      <charset val="204"/>
    </font>
    <font>
      <b/>
      <sz val="14"/>
      <color indexed="8"/>
      <name val="Arial Cyr"/>
      <charset val="204"/>
    </font>
    <font>
      <b/>
      <sz val="14"/>
      <name val="GreekC"/>
      <charset val="204"/>
    </font>
    <font>
      <b/>
      <sz val="14"/>
      <color indexed="10"/>
      <name val="Arial Cyr"/>
      <charset val="204"/>
    </font>
    <font>
      <b/>
      <sz val="16"/>
      <color indexed="8"/>
      <name val="Arial Cyr"/>
      <charset val="204"/>
    </font>
    <font>
      <sz val="10"/>
      <color rgb="FFFFFFFF"/>
      <name val="Arial Cyr"/>
      <charset val="204"/>
    </font>
    <font>
      <sz val="10"/>
      <color indexed="53"/>
      <name val="Arial Cyr"/>
      <charset val="204"/>
    </font>
    <font>
      <b/>
      <sz val="16"/>
      <color indexed="10"/>
      <name val="Arial Cyr"/>
      <charset val="204"/>
    </font>
    <font>
      <sz val="10"/>
      <color indexed="10"/>
      <name val="Arial Cyr"/>
      <charset val="204"/>
    </font>
    <font>
      <b/>
      <sz val="16"/>
      <color rgb="FFFF0000"/>
      <name val="Arial Cyr"/>
      <charset val="204"/>
    </font>
    <font>
      <b/>
      <sz val="16"/>
      <name val="GreekC"/>
      <charset val="204"/>
    </font>
    <font>
      <sz val="11"/>
      <name val="Arial Cyr"/>
      <charset val="204"/>
    </font>
    <font>
      <b/>
      <i/>
      <sz val="24"/>
      <name val="Arial Cyr"/>
      <charset val="204"/>
    </font>
    <font>
      <i/>
      <sz val="10"/>
      <name val="Arial Cyr"/>
      <charset val="204"/>
    </font>
    <font>
      <b/>
      <vertAlign val="subscript"/>
      <sz val="14"/>
      <name val="GreekC"/>
      <charset val="204"/>
    </font>
    <font>
      <i/>
      <sz val="14"/>
      <name val="Arial Cyr"/>
      <charset val="204"/>
    </font>
    <font>
      <sz val="18"/>
      <name val="Symeteo"/>
      <charset val="204"/>
    </font>
    <font>
      <sz val="18"/>
      <name val="Arial Cyr"/>
      <charset val="204"/>
    </font>
    <font>
      <b/>
      <sz val="26"/>
      <name val="Arial Cyr"/>
      <charset val="204"/>
    </font>
    <font>
      <b/>
      <sz val="12"/>
      <name val="GreekC"/>
      <charset val="204"/>
    </font>
    <font>
      <b/>
      <u/>
      <sz val="11"/>
      <color indexed="8"/>
      <name val="Calibri"/>
      <charset val="204"/>
    </font>
    <font>
      <b/>
      <u/>
      <sz val="11"/>
      <color rgb="FFC00000"/>
      <name val="Arno Pro Smbd SmText"/>
      <charset val="134"/>
    </font>
    <font>
      <b/>
      <sz val="10"/>
      <color rgb="FF974706"/>
      <name val="Arial Cyr"/>
      <charset val="204"/>
    </font>
    <font>
      <b/>
      <sz val="10"/>
      <color rgb="FFEEECE1"/>
      <name val="Arial Cyr"/>
      <charset val="204"/>
    </font>
    <font>
      <b/>
      <sz val="11"/>
      <color rgb="FF0C0C0C"/>
      <name val="Arial Cyr"/>
      <charset val="204"/>
    </font>
    <font>
      <b/>
      <u/>
      <sz val="12"/>
      <color rgb="FFC00000"/>
      <name val="Calibri"/>
      <charset val="204"/>
    </font>
    <font>
      <b/>
      <sz val="10"/>
      <color rgb="FFFF0000"/>
      <name val="Arial Cyr"/>
      <charset val="204"/>
    </font>
    <font>
      <b/>
      <u/>
      <sz val="12"/>
      <color indexed="8"/>
      <name val="Calibri"/>
      <charset val="204"/>
    </font>
    <font>
      <b/>
      <i/>
      <sz val="12"/>
      <name val="Times New Roman"/>
      <charset val="204"/>
    </font>
    <font>
      <b/>
      <i/>
      <sz val="8"/>
      <name val="Arial Cyr"/>
      <charset val="204"/>
    </font>
    <font>
      <b/>
      <i/>
      <sz val="9"/>
      <name val="Arial Cyr"/>
      <charset val="204"/>
    </font>
    <font>
      <b/>
      <i/>
      <sz val="10"/>
      <name val="Cambria"/>
      <charset val="204"/>
    </font>
    <font>
      <b/>
      <sz val="9"/>
      <name val="Arial Cyr"/>
      <charset val="204"/>
    </font>
    <font>
      <b/>
      <sz val="8"/>
      <name val="Arial Cyr"/>
      <charset val="204"/>
    </font>
    <font>
      <b/>
      <sz val="10"/>
      <name val="Calibri"/>
      <charset val="204"/>
    </font>
    <font>
      <b/>
      <sz val="12"/>
      <name val="Times New Roman"/>
      <charset val="204"/>
    </font>
    <font>
      <b/>
      <sz val="8"/>
      <name val="Times New Roman"/>
      <charset val="204"/>
    </font>
    <font>
      <sz val="10"/>
      <name val="Times New Roman"/>
      <charset val="204"/>
    </font>
    <font>
      <b/>
      <i/>
      <sz val="10"/>
      <name val="Times New Roman"/>
      <charset val="204"/>
    </font>
    <font>
      <b/>
      <sz val="1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GreekC"/>
      <charset val="204"/>
    </font>
    <font>
      <b/>
      <i/>
      <sz val="8"/>
      <name val="GreekC"/>
      <charset val="204"/>
    </font>
    <font>
      <b/>
      <vertAlign val="subscript"/>
      <sz val="11"/>
      <name val="Calibri"/>
      <charset val="204"/>
    </font>
    <font>
      <b/>
      <vertAlign val="subscript"/>
      <sz val="16"/>
      <name val="GreekC"/>
      <charset val="204"/>
    </font>
    <font>
      <sz val="9"/>
      <name val="Arial Cyr"/>
      <charset val="204"/>
    </font>
    <font>
      <b/>
      <i/>
      <sz val="10"/>
      <name val="Calibri"/>
      <charset val="204"/>
    </font>
    <font>
      <b/>
      <i/>
      <vertAlign val="subscript"/>
      <sz val="14"/>
      <name val="Arial Cyr"/>
      <charset val="204"/>
    </font>
    <font>
      <b/>
      <vertAlign val="subscript"/>
      <sz val="16"/>
      <name val="Arial Cyr"/>
      <charset val="204"/>
    </font>
    <font>
      <b/>
      <i/>
      <vertAlign val="superscript"/>
      <sz val="14"/>
      <name val="Arial Cyr"/>
      <charset val="204"/>
    </font>
    <font>
      <b/>
      <vertAlign val="superscript"/>
      <sz val="16"/>
      <name val="Arial Cyr"/>
      <charset val="204"/>
    </font>
    <font>
      <b/>
      <sz val="16"/>
      <name val="Calibri"/>
      <charset val="204"/>
    </font>
    <font>
      <b/>
      <vertAlign val="subscript"/>
      <sz val="14"/>
      <name val="Times New Roman"/>
      <charset val="204"/>
    </font>
    <font>
      <b/>
      <sz val="6"/>
      <name val="Arial Cyr"/>
      <charset val="204"/>
    </font>
    <font>
      <b/>
      <sz val="12"/>
      <name val="Calibri"/>
      <charset val="204"/>
    </font>
    <font>
      <b/>
      <sz val="8"/>
      <name val="Calibri"/>
      <charset val="204"/>
    </font>
    <font>
      <b/>
      <sz val="10"/>
      <name val="Tahoma"/>
      <charset val="204"/>
    </font>
    <font>
      <b/>
      <sz val="8"/>
      <name val="Tahoma"/>
      <charset val="204"/>
    </font>
    <font>
      <sz val="8"/>
      <name val="Tahoma"/>
      <charset val="204"/>
    </font>
    <font>
      <b/>
      <sz val="9"/>
      <name val="Tahoma"/>
      <charset val="204"/>
    </font>
    <font>
      <sz val="9"/>
      <name val="Tahoma"/>
      <charset val="204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>
      <protection locked="0"/>
    </xf>
    <xf numFmtId="177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178" fontId="61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1" fillId="24" borderId="101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02" applyNumberFormat="0" applyFill="0" applyAlignment="0" applyProtection="0">
      <alignment vertical="center"/>
    </xf>
    <xf numFmtId="0" fontId="68" fillId="0" borderId="102" applyNumberFormat="0" applyFill="0" applyAlignment="0" applyProtection="0">
      <alignment vertical="center"/>
    </xf>
    <xf numFmtId="0" fontId="69" fillId="0" borderId="10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25" borderId="104" applyNumberFormat="0" applyAlignment="0" applyProtection="0">
      <alignment vertical="center"/>
    </xf>
    <xf numFmtId="0" fontId="71" fillId="26" borderId="105" applyNumberFormat="0" applyAlignment="0" applyProtection="0">
      <alignment vertical="center"/>
    </xf>
    <xf numFmtId="0" fontId="72" fillId="26" borderId="104" applyNumberFormat="0" applyAlignment="0" applyProtection="0">
      <alignment vertical="center"/>
    </xf>
    <xf numFmtId="0" fontId="73" fillId="27" borderId="106" applyNumberFormat="0" applyAlignment="0" applyProtection="0">
      <alignment vertical="center"/>
    </xf>
    <xf numFmtId="0" fontId="74" fillId="0" borderId="107" applyNumberFormat="0" applyFill="0" applyAlignment="0" applyProtection="0">
      <alignment vertical="center"/>
    </xf>
    <xf numFmtId="0" fontId="75" fillId="0" borderId="108" applyNumberFormat="0" applyFill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30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80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</cellStyleXfs>
  <cellXfs count="1013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9" xfId="0" applyFont="1" applyBorder="1" applyAlignment="1"/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top" wrapText="1"/>
    </xf>
    <xf numFmtId="0" fontId="5" fillId="0" borderId="35" xfId="0" applyFont="1" applyBorder="1" applyAlignment="1">
      <alignment horizontal="center" vertical="top" wrapText="1"/>
    </xf>
    <xf numFmtId="179" fontId="5" fillId="0" borderId="35" xfId="0" applyNumberFormat="1" applyFont="1" applyBorder="1" applyAlignment="1">
      <alignment horizontal="center" vertical="top" wrapText="1"/>
    </xf>
    <xf numFmtId="49" fontId="5" fillId="0" borderId="34" xfId="0" applyNumberFormat="1" applyFont="1" applyBorder="1" applyAlignment="1">
      <alignment horizontal="center" vertical="top" wrapText="1"/>
    </xf>
    <xf numFmtId="0" fontId="5" fillId="0" borderId="3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2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8" fillId="2" borderId="0" xfId="0" applyFont="1" applyFill="1" applyBorder="1" applyAlignment="1"/>
    <xf numFmtId="0" fontId="9" fillId="2" borderId="0" xfId="0" applyFont="1" applyFill="1" applyBorder="1" applyAlignment="1"/>
    <xf numFmtId="0" fontId="2" fillId="2" borderId="0" xfId="0" applyFont="1" applyFill="1" applyBorder="1" applyAlignment="1"/>
    <xf numFmtId="0" fontId="10" fillId="2" borderId="0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" fontId="2" fillId="0" borderId="34" xfId="0" applyNumberFormat="1" applyFont="1" applyBorder="1" applyAlignment="1">
      <alignment horizontal="center"/>
    </xf>
    <xf numFmtId="180" fontId="2" fillId="0" borderId="34" xfId="0" applyNumberFormat="1" applyFont="1" applyBorder="1" applyAlignment="1">
      <alignment horizontal="center"/>
    </xf>
    <xf numFmtId="0" fontId="2" fillId="0" borderId="4" xfId="0" applyFont="1" applyBorder="1" applyAlignment="1"/>
    <xf numFmtId="2" fontId="2" fillId="0" borderId="0" xfId="0" applyNumberFormat="1" applyFont="1" applyBorder="1" applyAlignment="1">
      <alignment horizontal="center"/>
    </xf>
    <xf numFmtId="18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2" fontId="2" fillId="0" borderId="37" xfId="0" applyNumberFormat="1" applyFont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1" fontId="2" fillId="0" borderId="36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7" borderId="5" xfId="0" applyNumberFormat="1" applyFont="1" applyFill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2" fontId="2" fillId="8" borderId="4" xfId="0" applyNumberFormat="1" applyFont="1" applyFill="1" applyBorder="1" applyAlignment="1">
      <alignment horizontal="center" vertical="center"/>
    </xf>
    <xf numFmtId="1" fontId="13" fillId="0" borderId="34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1" fontId="13" fillId="0" borderId="37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 vertical="center"/>
    </xf>
    <xf numFmtId="181" fontId="2" fillId="0" borderId="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182" fontId="2" fillId="0" borderId="34" xfId="0" applyNumberFormat="1" applyFont="1" applyBorder="1" applyAlignment="1">
      <alignment horizontal="center" vertical="center"/>
    </xf>
    <xf numFmtId="182" fontId="2" fillId="0" borderId="3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6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4" fontId="2" fillId="0" borderId="36" xfId="0" applyNumberFormat="1" applyFont="1" applyBorder="1" applyAlignment="1">
      <alignment horizontal="center" vertical="center"/>
    </xf>
    <xf numFmtId="4" fontId="2" fillId="0" borderId="34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" fontId="2" fillId="0" borderId="37" xfId="0" applyNumberFormat="1" applyFont="1" applyBorder="1" applyAlignment="1">
      <alignment horizontal="center" vertical="center"/>
    </xf>
    <xf numFmtId="4" fontId="2" fillId="0" borderId="35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2" fontId="1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4" xfId="0" applyNumberFormat="1" applyFont="1" applyBorder="1" applyAlignment="1">
      <alignment horizontal="center" vertical="center"/>
    </xf>
    <xf numFmtId="4" fontId="18" fillId="0" borderId="0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 vertical="center"/>
    </xf>
    <xf numFmtId="4" fontId="18" fillId="0" borderId="34" xfId="0" applyNumberFormat="1" applyFont="1" applyBorder="1" applyAlignment="1">
      <alignment horizontal="center" vertical="center"/>
    </xf>
    <xf numFmtId="4" fontId="15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/>
    <xf numFmtId="4" fontId="2" fillId="0" borderId="34" xfId="0" applyNumberFormat="1" applyFont="1" applyBorder="1" applyAlignment="1" applyProtection="1">
      <alignment horizontal="center" vertical="center"/>
      <protection locked="0"/>
    </xf>
    <xf numFmtId="181" fontId="2" fillId="0" borderId="0" xfId="0" applyNumberFormat="1" applyFont="1" applyAlignment="1">
      <alignment horizontal="center" vertical="center"/>
    </xf>
    <xf numFmtId="181" fontId="3" fillId="10" borderId="4" xfId="0" applyNumberFormat="1" applyFont="1" applyFill="1" applyBorder="1" applyAlignment="1">
      <alignment horizontal="center" vertical="center"/>
    </xf>
    <xf numFmtId="181" fontId="2" fillId="0" borderId="0" xfId="0" applyNumberFormat="1" applyFont="1" applyBorder="1" applyAlignment="1" applyProtection="1">
      <alignment horizontal="center" vertical="center"/>
      <protection locked="0"/>
    </xf>
    <xf numFmtId="181" fontId="3" fillId="11" borderId="1" xfId="0" applyNumberFormat="1" applyFont="1" applyFill="1" applyBorder="1" applyAlignment="1" applyProtection="1">
      <alignment horizontal="center" vertical="center"/>
      <protection locked="0"/>
    </xf>
    <xf numFmtId="181" fontId="3" fillId="11" borderId="4" xfId="0" applyNumberFormat="1" applyFont="1" applyFill="1" applyBorder="1" applyAlignment="1" applyProtection="1">
      <alignment horizontal="center" vertical="center"/>
      <protection locked="0"/>
    </xf>
    <xf numFmtId="4" fontId="2" fillId="0" borderId="36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 applyAlignment="1">
      <alignment horizontal="left" vertical="center"/>
    </xf>
    <xf numFmtId="181" fontId="2" fillId="0" borderId="6" xfId="0" applyNumberFormat="1" applyFont="1" applyBorder="1" applyAlignment="1" applyProtection="1">
      <alignment horizontal="center" vertical="center"/>
      <protection locked="0"/>
    </xf>
    <xf numFmtId="181" fontId="2" fillId="0" borderId="26" xfId="0" applyNumberFormat="1" applyFont="1" applyBorder="1" applyAlignment="1" applyProtection="1">
      <alignment horizontal="center" vertical="center"/>
      <protection locked="0"/>
    </xf>
    <xf numFmtId="4" fontId="2" fillId="0" borderId="4" xfId="0" applyNumberFormat="1" applyFont="1" applyBorder="1" applyAlignment="1" applyProtection="1">
      <alignment horizontal="center" vertical="center"/>
      <protection locked="0"/>
    </xf>
    <xf numFmtId="181" fontId="3" fillId="2" borderId="1" xfId="0" applyNumberFormat="1" applyFont="1" applyFill="1" applyBorder="1" applyAlignment="1" applyProtection="1">
      <alignment horizontal="center" vertical="center"/>
      <protection locked="0"/>
    </xf>
    <xf numFmtId="181" fontId="3" fillId="2" borderId="4" xfId="0" applyNumberFormat="1" applyFont="1" applyFill="1" applyBorder="1" applyAlignment="1" applyProtection="1">
      <alignment horizontal="center" vertical="center"/>
      <protection locked="0"/>
    </xf>
    <xf numFmtId="181" fontId="3" fillId="2" borderId="5" xfId="0" applyNumberFormat="1" applyFont="1" applyFill="1" applyBorder="1" applyAlignment="1" applyProtection="1">
      <alignment horizontal="center" vertical="center"/>
      <protection locked="0"/>
    </xf>
    <xf numFmtId="181" fontId="3" fillId="2" borderId="25" xfId="0" applyNumberFormat="1" applyFont="1" applyFill="1" applyBorder="1" applyAlignment="1" applyProtection="1">
      <alignment horizontal="center" vertical="center"/>
      <protection locked="0"/>
    </xf>
    <xf numFmtId="4" fontId="2" fillId="0" borderId="37" xfId="0" applyNumberFormat="1" applyFont="1" applyBorder="1" applyAlignment="1" applyProtection="1">
      <alignment horizontal="center" vertical="center"/>
      <protection locked="0"/>
    </xf>
    <xf numFmtId="4" fontId="2" fillId="0" borderId="35" xfId="0" applyNumberFormat="1" applyFont="1" applyBorder="1" applyAlignment="1" applyProtection="1">
      <alignment horizontal="center" vertical="center"/>
      <protection locked="0"/>
    </xf>
    <xf numFmtId="181" fontId="3" fillId="12" borderId="4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181" fontId="2" fillId="0" borderId="0" xfId="0" applyNumberFormat="1" applyFont="1" applyAlignment="1">
      <alignment horizontal="center"/>
    </xf>
    <xf numFmtId="181" fontId="10" fillId="0" borderId="0" xfId="0" applyNumberFormat="1" applyFont="1" applyAlignment="1">
      <alignment horizontal="center"/>
    </xf>
    <xf numFmtId="181" fontId="3" fillId="2" borderId="1" xfId="0" applyNumberFormat="1" applyFont="1" applyFill="1" applyBorder="1" applyAlignment="1">
      <alignment horizontal="center"/>
    </xf>
    <xf numFmtId="181" fontId="3" fillId="2" borderId="4" xfId="0" applyNumberFormat="1" applyFont="1" applyFill="1" applyBorder="1" applyAlignment="1">
      <alignment horizontal="center"/>
    </xf>
    <xf numFmtId="4" fontId="2" fillId="0" borderId="36" xfId="0" applyNumberFormat="1" applyFont="1" applyBorder="1" applyAlignment="1">
      <alignment horizontal="center"/>
    </xf>
    <xf numFmtId="4" fontId="2" fillId="0" borderId="34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181" fontId="3" fillId="7" borderId="39" xfId="0" applyNumberFormat="1" applyFont="1" applyFill="1" applyBorder="1" applyAlignment="1">
      <alignment horizontal="center"/>
    </xf>
    <xf numFmtId="181" fontId="3" fillId="7" borderId="33" xfId="0" applyNumberFormat="1" applyFont="1" applyFill="1" applyBorder="1" applyAlignment="1">
      <alignment horizontal="center"/>
    </xf>
    <xf numFmtId="181" fontId="3" fillId="7" borderId="38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81" fontId="2" fillId="0" borderId="34" xfId="0" applyNumberFormat="1" applyFont="1" applyBorder="1" applyAlignment="1">
      <alignment horizontal="center" vertical="center"/>
    </xf>
    <xf numFmtId="4" fontId="13" fillId="3" borderId="33" xfId="0" applyNumberFormat="1" applyFont="1" applyFill="1" applyBorder="1" applyAlignment="1">
      <alignment horizontal="center" vertical="center"/>
    </xf>
    <xf numFmtId="4" fontId="13" fillId="3" borderId="38" xfId="0" applyNumberFormat="1" applyFont="1" applyFill="1" applyBorder="1" applyAlignment="1">
      <alignment horizontal="center" vertical="center"/>
    </xf>
    <xf numFmtId="4" fontId="13" fillId="3" borderId="40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4" fontId="13" fillId="0" borderId="4" xfId="0" applyNumberFormat="1" applyFont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center" vertical="center"/>
    </xf>
    <xf numFmtId="4" fontId="13" fillId="7" borderId="4" xfId="0" applyNumberFormat="1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181" fontId="2" fillId="0" borderId="36" xfId="0" applyNumberFormat="1" applyFont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4" fontId="2" fillId="2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left" vertical="center"/>
    </xf>
    <xf numFmtId="4" fontId="21" fillId="0" borderId="0" xfId="0" applyNumberFormat="1" applyFont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184" fontId="2" fillId="0" borderId="36" xfId="0" applyNumberFormat="1" applyFont="1" applyBorder="1" applyAlignment="1">
      <alignment horizontal="center" vertical="center"/>
    </xf>
    <xf numFmtId="184" fontId="2" fillId="0" borderId="34" xfId="0" applyNumberFormat="1" applyFont="1" applyBorder="1" applyAlignment="1">
      <alignment horizontal="center" vertical="center"/>
    </xf>
    <xf numFmtId="185" fontId="2" fillId="0" borderId="37" xfId="0" applyNumberFormat="1" applyFont="1" applyBorder="1" applyAlignment="1">
      <alignment horizontal="center" vertical="center"/>
    </xf>
    <xf numFmtId="184" fontId="2" fillId="0" borderId="37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2" fontId="18" fillId="2" borderId="34" xfId="0" applyNumberFormat="1" applyFont="1" applyFill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>
      <alignment vertical="center"/>
    </xf>
    <xf numFmtId="0" fontId="2" fillId="0" borderId="0" xfId="0" applyFont="1">
      <alignment vertical="center"/>
    </xf>
    <xf numFmtId="2" fontId="14" fillId="0" borderId="34" xfId="0" applyNumberFormat="1" applyFont="1" applyBorder="1" applyAlignment="1">
      <alignment horizontal="center" vertical="center"/>
    </xf>
    <xf numFmtId="2" fontId="14" fillId="0" borderId="34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/>
    </xf>
    <xf numFmtId="2" fontId="14" fillId="0" borderId="4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49" fontId="14" fillId="0" borderId="0" xfId="0" applyNumberFormat="1" applyFont="1" applyBorder="1">
      <alignment vertical="center"/>
    </xf>
    <xf numFmtId="0" fontId="14" fillId="2" borderId="4" xfId="0" applyFont="1" applyFill="1" applyBorder="1" applyAlignment="1">
      <alignment horizontal="center" vertical="center"/>
    </xf>
    <xf numFmtId="49" fontId="14" fillId="0" borderId="6" xfId="0" applyNumberFormat="1" applyFont="1" applyBorder="1" applyAlignment="1">
      <alignment horizontal="left" vertical="center"/>
    </xf>
    <xf numFmtId="49" fontId="14" fillId="0" borderId="0" xfId="0" applyNumberFormat="1" applyFont="1" applyBorder="1" applyAlignment="1">
      <alignment horizontal="left" vertical="center"/>
    </xf>
    <xf numFmtId="49" fontId="14" fillId="0" borderId="0" xfId="0" applyNumberFormat="1" applyFont="1" applyBorder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2" fillId="0" borderId="0" xfId="0" applyFont="1" applyBorder="1">
      <alignment vertical="center"/>
    </xf>
    <xf numFmtId="0" fontId="14" fillId="14" borderId="4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24" fillId="2" borderId="0" xfId="0" applyFont="1" applyFill="1" applyBorder="1">
      <alignment vertical="center"/>
    </xf>
    <xf numFmtId="0" fontId="13" fillId="12" borderId="4" xfId="0" applyFont="1" applyFill="1" applyBorder="1" applyAlignment="1">
      <alignment horizontal="center" vertical="center"/>
    </xf>
    <xf numFmtId="49" fontId="14" fillId="2" borderId="0" xfId="0" applyNumberFormat="1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/>
    </xf>
    <xf numFmtId="0" fontId="25" fillId="2" borderId="42" xfId="0" applyFont="1" applyFill="1" applyBorder="1" applyAlignment="1">
      <alignment horizontal="center" vertical="center"/>
    </xf>
    <xf numFmtId="0" fontId="25" fillId="2" borderId="43" xfId="0" applyFont="1" applyFill="1" applyBorder="1" applyAlignment="1">
      <alignment horizontal="center" vertical="center"/>
    </xf>
    <xf numFmtId="0" fontId="2" fillId="16" borderId="44" xfId="0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182" fontId="2" fillId="0" borderId="45" xfId="0" applyNumberFormat="1" applyFont="1" applyBorder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46" xfId="0" applyNumberFormat="1" applyFont="1" applyBorder="1" applyAlignment="1">
      <alignment horizontal="center" vertical="center"/>
    </xf>
    <xf numFmtId="2" fontId="2" fillId="0" borderId="47" xfId="0" applyNumberFormat="1" applyFont="1" applyBorder="1" applyAlignment="1">
      <alignment horizontal="center" vertical="center"/>
    </xf>
    <xf numFmtId="186" fontId="2" fillId="0" borderId="48" xfId="1" applyNumberFormat="1" applyFont="1" applyBorder="1" applyAlignment="1" applyProtection="1">
      <alignment horizontal="center" vertical="center"/>
    </xf>
    <xf numFmtId="0" fontId="2" fillId="16" borderId="49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82" fontId="2" fillId="0" borderId="48" xfId="0" applyNumberFormat="1" applyFont="1" applyBorder="1" applyAlignment="1">
      <alignment horizontal="center" vertical="center"/>
    </xf>
    <xf numFmtId="182" fontId="2" fillId="0" borderId="3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2" borderId="50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left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50" xfId="0" applyFont="1" applyFill="1" applyBorder="1" applyAlignment="1">
      <alignment horizontal="center" vertical="center"/>
    </xf>
    <xf numFmtId="0" fontId="29" fillId="17" borderId="4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/>
    </xf>
    <xf numFmtId="0" fontId="29" fillId="2" borderId="50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2" fontId="29" fillId="2" borderId="52" xfId="0" applyNumberFormat="1" applyFont="1" applyFill="1" applyBorder="1" applyAlignment="1">
      <alignment horizontal="center" vertical="center"/>
    </xf>
    <xf numFmtId="0" fontId="29" fillId="2" borderId="52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29" fillId="2" borderId="4" xfId="0" applyNumberFormat="1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4" fillId="17" borderId="53" xfId="0" applyFont="1" applyFill="1" applyBorder="1" applyAlignment="1"/>
    <xf numFmtId="0" fontId="13" fillId="17" borderId="53" xfId="0" applyFont="1" applyFill="1" applyBorder="1" applyAlignment="1"/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187" fontId="2" fillId="0" borderId="0" xfId="0" applyNumberFormat="1" applyFont="1" applyAlignment="1"/>
    <xf numFmtId="0" fontId="17" fillId="0" borderId="0" xfId="0" applyFont="1" applyBorder="1" applyAlignment="1">
      <alignment horizontal="center"/>
    </xf>
    <xf numFmtId="0" fontId="17" fillId="0" borderId="0" xfId="0" applyFont="1" applyAlignment="1"/>
    <xf numFmtId="187" fontId="2" fillId="0" borderId="19" xfId="0" applyNumberFormat="1" applyFont="1" applyBorder="1" applyAlignment="1">
      <alignment horizontal="center"/>
    </xf>
    <xf numFmtId="0" fontId="9" fillId="12" borderId="47" xfId="0" applyFont="1" applyFill="1" applyBorder="1" applyAlignment="1">
      <alignment horizontal="center" vertical="center"/>
    </xf>
    <xf numFmtId="0" fontId="9" fillId="6" borderId="54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/>
    </xf>
    <xf numFmtId="0" fontId="9" fillId="7" borderId="54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/>
    </xf>
    <xf numFmtId="0" fontId="31" fillId="6" borderId="24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 vertical="center"/>
    </xf>
    <xf numFmtId="0" fontId="9" fillId="12" borderId="57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57" xfId="0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0" fillId="6" borderId="57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49" fontId="10" fillId="6" borderId="57" xfId="0" applyNumberFormat="1" applyFont="1" applyFill="1" applyBorder="1" applyAlignment="1">
      <alignment horizontal="center" vertical="center"/>
    </xf>
    <xf numFmtId="49" fontId="10" fillId="6" borderId="53" xfId="0" applyNumberFormat="1" applyFont="1" applyFill="1" applyBorder="1" applyAlignment="1">
      <alignment horizontal="center" vertical="center"/>
    </xf>
    <xf numFmtId="1" fontId="21" fillId="0" borderId="53" xfId="0" applyNumberFormat="1" applyFont="1" applyBorder="1" applyAlignment="1">
      <alignment horizontal="center"/>
    </xf>
    <xf numFmtId="180" fontId="21" fillId="0" borderId="24" xfId="0" applyNumberFormat="1" applyFont="1" applyBorder="1" applyAlignment="1">
      <alignment horizontal="center"/>
    </xf>
    <xf numFmtId="2" fontId="21" fillId="0" borderId="53" xfId="0" applyNumberFormat="1" applyFont="1" applyBorder="1" applyAlignment="1">
      <alignment horizontal="center"/>
    </xf>
    <xf numFmtId="2" fontId="21" fillId="0" borderId="24" xfId="0" applyNumberFormat="1" applyFont="1" applyBorder="1" applyAlignment="1">
      <alignment horizontal="center" vertical="center"/>
    </xf>
    <xf numFmtId="2" fontId="21" fillId="0" borderId="53" xfId="0" applyNumberFormat="1" applyFont="1" applyBorder="1" applyAlignment="1">
      <alignment horizontal="center" vertical="center"/>
    </xf>
    <xf numFmtId="180" fontId="21" fillId="0" borderId="24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/>
    </xf>
    <xf numFmtId="180" fontId="21" fillId="0" borderId="53" xfId="0" applyNumberFormat="1" applyFont="1" applyBorder="1" applyAlignment="1">
      <alignment horizontal="center"/>
    </xf>
    <xf numFmtId="1" fontId="21" fillId="0" borderId="24" xfId="0" applyNumberFormat="1" applyFont="1" applyBorder="1" applyAlignment="1">
      <alignment horizontal="center" vertical="center"/>
    </xf>
    <xf numFmtId="0" fontId="21" fillId="0" borderId="53" xfId="0" applyFont="1" applyBorder="1" applyAlignment="1">
      <alignment horizontal="center"/>
    </xf>
    <xf numFmtId="1" fontId="32" fillId="0" borderId="0" xfId="0" applyNumberFormat="1" applyFont="1" applyBorder="1" applyAlignment="1">
      <alignment horizontal="center"/>
    </xf>
    <xf numFmtId="180" fontId="32" fillId="0" borderId="0" xfId="0" applyNumberFormat="1" applyFont="1" applyBorder="1" applyAlignment="1">
      <alignment horizontal="center"/>
    </xf>
    <xf numFmtId="2" fontId="32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 vertical="center"/>
    </xf>
    <xf numFmtId="49" fontId="33" fillId="0" borderId="39" xfId="0" applyNumberFormat="1" applyFont="1" applyBorder="1" applyAlignment="1">
      <alignment horizontal="center" vertical="center" textRotation="90"/>
    </xf>
    <xf numFmtId="0" fontId="34" fillId="0" borderId="38" xfId="0" applyFon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23" fillId="2" borderId="33" xfId="0" applyFont="1" applyFill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15" fillId="2" borderId="27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/>
    </xf>
    <xf numFmtId="0" fontId="16" fillId="2" borderId="39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49" fontId="33" fillId="0" borderId="6" xfId="0" applyNumberFormat="1" applyFont="1" applyBorder="1" applyAlignment="1">
      <alignment horizontal="center" vertical="center" textRotation="90"/>
    </xf>
    <xf numFmtId="0" fontId="34" fillId="0" borderId="0" xfId="0" applyFont="1" applyBorder="1" applyAlignment="1">
      <alignment horizontal="center"/>
    </xf>
    <xf numFmtId="0" fontId="15" fillId="0" borderId="34" xfId="0" applyFont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/>
    </xf>
    <xf numFmtId="0" fontId="16" fillId="2" borderId="36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180" fontId="21" fillId="0" borderId="33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2" fontId="36" fillId="0" borderId="33" xfId="0" applyNumberFormat="1" applyFont="1" applyBorder="1" applyAlignment="1">
      <alignment horizontal="center" vertical="center"/>
    </xf>
    <xf numFmtId="2" fontId="10" fillId="2" borderId="39" xfId="0" applyNumberFormat="1" applyFont="1" applyFill="1" applyBorder="1" applyAlignment="1">
      <alignment horizontal="center" vertical="center"/>
    </xf>
    <xf numFmtId="2" fontId="10" fillId="2" borderId="40" xfId="0" applyNumberFormat="1" applyFont="1" applyFill="1" applyBorder="1" applyAlignment="1">
      <alignment horizontal="center" vertical="center"/>
    </xf>
    <xf numFmtId="2" fontId="10" fillId="2" borderId="40" xfId="0" applyNumberFormat="1" applyFont="1" applyFill="1" applyBorder="1">
      <alignment vertical="center"/>
    </xf>
    <xf numFmtId="180" fontId="21" fillId="2" borderId="33" xfId="0" applyNumberFormat="1" applyFont="1" applyFill="1" applyBorder="1" applyAlignment="1">
      <alignment horizontal="center" vertical="center"/>
    </xf>
    <xf numFmtId="2" fontId="14" fillId="0" borderId="44" xfId="0" applyNumberFormat="1" applyFont="1" applyBorder="1" applyAlignment="1">
      <alignment horizontal="center" vertical="center"/>
    </xf>
    <xf numFmtId="180" fontId="21" fillId="0" borderId="58" xfId="0" applyNumberFormat="1" applyFont="1" applyBorder="1" applyAlignment="1"/>
    <xf numFmtId="180" fontId="21" fillId="0" borderId="0" xfId="0" applyNumberFormat="1" applyFont="1" applyBorder="1" applyAlignment="1"/>
    <xf numFmtId="0" fontId="15" fillId="0" borderId="18" xfId="0" applyFont="1" applyBorder="1" applyAlignment="1">
      <alignment horizontal="center" vertical="center"/>
    </xf>
    <xf numFmtId="180" fontId="21" fillId="0" borderId="9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2" fontId="10" fillId="2" borderId="6" xfId="0" applyNumberFormat="1" applyFont="1" applyFill="1" applyBorder="1" applyAlignment="1">
      <alignment horizontal="center" vertical="center"/>
    </xf>
    <xf numFmtId="2" fontId="10" fillId="2" borderId="26" xfId="0" applyNumberFormat="1" applyFont="1" applyFill="1" applyBorder="1" applyAlignment="1">
      <alignment horizontal="center" vertical="center"/>
    </xf>
    <xf numFmtId="2" fontId="10" fillId="2" borderId="26" xfId="0" applyNumberFormat="1" applyFont="1" applyFill="1" applyBorder="1">
      <alignment vertical="center"/>
    </xf>
    <xf numFmtId="180" fontId="21" fillId="2" borderId="18" xfId="0" applyNumberFormat="1" applyFont="1" applyFill="1" applyBorder="1" applyAlignment="1">
      <alignment horizontal="center" vertical="center"/>
    </xf>
    <xf numFmtId="180" fontId="21" fillId="0" borderId="18" xfId="0" applyNumberFormat="1" applyFont="1" applyBorder="1" applyAlignment="1">
      <alignment horizontal="center" vertical="center"/>
    </xf>
    <xf numFmtId="2" fontId="14" fillId="0" borderId="59" xfId="0" applyNumberFormat="1" applyFont="1" applyBorder="1" applyAlignment="1">
      <alignment horizontal="center" vertical="center"/>
    </xf>
    <xf numFmtId="180" fontId="21" fillId="0" borderId="12" xfId="0" applyNumberFormat="1" applyFont="1" applyBorder="1" applyAlignment="1"/>
    <xf numFmtId="0" fontId="15" fillId="0" borderId="9" xfId="0" applyFont="1" applyBorder="1" applyAlignment="1">
      <alignment horizontal="center" vertical="center"/>
    </xf>
    <xf numFmtId="1" fontId="36" fillId="0" borderId="26" xfId="0" applyNumberFormat="1" applyFont="1" applyBorder="1" applyAlignment="1">
      <alignment horizontal="center" vertical="center"/>
    </xf>
    <xf numFmtId="2" fontId="36" fillId="0" borderId="9" xfId="0" applyNumberFormat="1" applyFont="1" applyBorder="1" applyAlignment="1">
      <alignment horizontal="center" vertical="center"/>
    </xf>
    <xf numFmtId="180" fontId="36" fillId="2" borderId="9" xfId="0" applyNumberFormat="1" applyFont="1" applyFill="1" applyBorder="1" applyAlignment="1">
      <alignment horizontal="center" vertical="center"/>
    </xf>
    <xf numFmtId="180" fontId="36" fillId="0" borderId="9" xfId="0" applyNumberFormat="1" applyFont="1" applyBorder="1" applyAlignment="1">
      <alignment horizontal="center" vertical="center"/>
    </xf>
    <xf numFmtId="2" fontId="14" fillId="0" borderId="39" xfId="0" applyNumberFormat="1" applyFont="1" applyBorder="1" applyAlignment="1">
      <alignment horizontal="center" vertical="center"/>
    </xf>
    <xf numFmtId="2" fontId="14" fillId="0" borderId="40" xfId="0" applyNumberFormat="1" applyFont="1" applyBorder="1" applyAlignment="1">
      <alignment horizontal="center" vertical="center"/>
    </xf>
    <xf numFmtId="2" fontId="10" fillId="0" borderId="0" xfId="0" applyNumberFormat="1" applyFont="1" applyBorder="1">
      <alignment vertical="center"/>
    </xf>
    <xf numFmtId="0" fontId="21" fillId="0" borderId="36" xfId="0" applyFont="1" applyBorder="1" applyAlignment="1">
      <alignment horizontal="center" vertical="center"/>
    </xf>
    <xf numFmtId="180" fontId="21" fillId="0" borderId="34" xfId="0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horizontal="center" vertical="center"/>
    </xf>
    <xf numFmtId="1" fontId="36" fillId="0" borderId="35" xfId="0" applyNumberFormat="1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2" fontId="10" fillId="2" borderId="36" xfId="0" applyNumberFormat="1" applyFont="1" applyFill="1" applyBorder="1" applyAlignment="1">
      <alignment horizontal="center" vertical="center"/>
    </xf>
    <xf numFmtId="2" fontId="10" fillId="2" borderId="35" xfId="0" applyNumberFormat="1" applyFont="1" applyFill="1" applyBorder="1" applyAlignment="1">
      <alignment horizontal="center" vertical="center"/>
    </xf>
    <xf numFmtId="2" fontId="10" fillId="2" borderId="35" xfId="0" applyNumberFormat="1" applyFont="1" applyFill="1" applyBorder="1">
      <alignment vertical="center"/>
    </xf>
    <xf numFmtId="180" fontId="36" fillId="2" borderId="34" xfId="0" applyNumberFormat="1" applyFont="1" applyFill="1" applyBorder="1" applyAlignment="1">
      <alignment horizontal="center" vertical="center"/>
    </xf>
    <xf numFmtId="180" fontId="36" fillId="0" borderId="34" xfId="0" applyNumberFormat="1" applyFont="1" applyBorder="1" applyAlignment="1">
      <alignment horizontal="center" vertical="center"/>
    </xf>
    <xf numFmtId="2" fontId="14" fillId="0" borderId="36" xfId="0" applyNumberFormat="1" applyFont="1" applyBorder="1" applyAlignment="1">
      <alignment horizontal="center" vertical="center"/>
    </xf>
    <xf numFmtId="2" fontId="14" fillId="0" borderId="35" xfId="0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textRotation="90"/>
    </xf>
    <xf numFmtId="2" fontId="10" fillId="2" borderId="27" xfId="0" applyNumberFormat="1" applyFont="1" applyFill="1" applyBorder="1" applyAlignment="1">
      <alignment horizontal="right" vertical="center"/>
    </xf>
    <xf numFmtId="2" fontId="21" fillId="2" borderId="30" xfId="0" applyNumberFormat="1" applyFont="1" applyFill="1" applyBorder="1">
      <alignment vertical="center"/>
    </xf>
    <xf numFmtId="184" fontId="21" fillId="2" borderId="33" xfId="0" applyNumberFormat="1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 textRotation="90"/>
    </xf>
    <xf numFmtId="2" fontId="10" fillId="2" borderId="20" xfId="0" applyNumberFormat="1" applyFont="1" applyFill="1" applyBorder="1" applyAlignment="1">
      <alignment horizontal="right" vertical="center"/>
    </xf>
    <xf numFmtId="2" fontId="21" fillId="2" borderId="31" xfId="0" applyNumberFormat="1" applyFont="1" applyFill="1" applyBorder="1">
      <alignment vertical="center"/>
    </xf>
    <xf numFmtId="184" fontId="21" fillId="2" borderId="9" xfId="0" applyNumberFormat="1" applyFont="1" applyFill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180" fontId="21" fillId="0" borderId="22" xfId="0" applyNumberFormat="1" applyFont="1" applyBorder="1" applyAlignment="1"/>
    <xf numFmtId="180" fontId="21" fillId="0" borderId="6" xfId="0" applyNumberFormat="1" applyFont="1" applyBorder="1" applyAlignment="1">
      <alignment horizontal="center" vertical="center"/>
    </xf>
    <xf numFmtId="180" fontId="21" fillId="2" borderId="26" xfId="0" applyNumberFormat="1" applyFont="1" applyFill="1" applyBorder="1" applyAlignment="1">
      <alignment horizontal="center" vertical="center"/>
    </xf>
    <xf numFmtId="180" fontId="21" fillId="0" borderId="60" xfId="0" applyNumberFormat="1" applyFont="1" applyBorder="1" applyAlignment="1">
      <alignment horizontal="center" vertical="center"/>
    </xf>
    <xf numFmtId="180" fontId="21" fillId="0" borderId="36" xfId="0" applyNumberFormat="1" applyFont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right" vertical="center"/>
    </xf>
    <xf numFmtId="2" fontId="21" fillId="2" borderId="32" xfId="0" applyNumberFormat="1" applyFont="1" applyFill="1" applyBorder="1">
      <alignment vertical="center"/>
    </xf>
    <xf numFmtId="184" fontId="21" fillId="2" borderId="34" xfId="0" applyNumberFormat="1" applyFont="1" applyFill="1" applyBorder="1" applyAlignment="1">
      <alignment horizontal="center" vertical="center"/>
    </xf>
    <xf numFmtId="180" fontId="21" fillId="2" borderId="35" xfId="0" applyNumberFormat="1" applyFont="1" applyFill="1" applyBorder="1" applyAlignment="1">
      <alignment horizontal="center" vertical="center"/>
    </xf>
    <xf numFmtId="180" fontId="21" fillId="0" borderId="61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textRotation="90"/>
    </xf>
    <xf numFmtId="2" fontId="21" fillId="0" borderId="61" xfId="0" applyNumberFormat="1" applyFont="1" applyBorder="1" applyAlignment="1">
      <alignment horizontal="center" vertical="center"/>
    </xf>
    <xf numFmtId="4" fontId="21" fillId="0" borderId="61" xfId="0" applyNumberFormat="1" applyFont="1" applyBorder="1" applyAlignment="1">
      <alignment horizontal="center" vertical="center"/>
    </xf>
    <xf numFmtId="1" fontId="37" fillId="0" borderId="33" xfId="0" applyNumberFormat="1" applyFont="1" applyBorder="1" applyAlignment="1">
      <alignment horizontal="center" vertical="center"/>
    </xf>
    <xf numFmtId="2" fontId="21" fillId="2" borderId="39" xfId="0" applyNumberFormat="1" applyFont="1" applyFill="1" applyBorder="1" applyAlignment="1">
      <alignment horizontal="center" vertical="center"/>
    </xf>
    <xf numFmtId="2" fontId="21" fillId="2" borderId="40" xfId="0" applyNumberFormat="1" applyFont="1" applyFill="1" applyBorder="1" applyAlignment="1">
      <alignment horizontal="center" vertical="center"/>
    </xf>
    <xf numFmtId="180" fontId="21" fillId="0" borderId="39" xfId="0" applyNumberFormat="1" applyFont="1" applyBorder="1" applyAlignment="1">
      <alignment horizontal="center" vertical="center"/>
    </xf>
    <xf numFmtId="180" fontId="21" fillId="0" borderId="40" xfId="0" applyNumberFormat="1" applyFont="1" applyBorder="1" applyAlignment="1">
      <alignment horizontal="center" vertical="center"/>
    </xf>
    <xf numFmtId="180" fontId="21" fillId="0" borderId="0" xfId="0" applyNumberFormat="1" applyFont="1" applyBorder="1">
      <alignment vertical="center"/>
    </xf>
    <xf numFmtId="2" fontId="21" fillId="0" borderId="9" xfId="0" applyNumberFormat="1" applyFont="1" applyBorder="1" applyAlignment="1">
      <alignment horizontal="center" vertical="center"/>
    </xf>
    <xf numFmtId="4" fontId="21" fillId="0" borderId="9" xfId="0" applyNumberFormat="1" applyFont="1" applyBorder="1" applyAlignment="1">
      <alignment horizontal="center" vertical="center"/>
    </xf>
    <xf numFmtId="1" fontId="38" fillId="0" borderId="18" xfId="0" applyNumberFormat="1" applyFont="1" applyBorder="1" applyAlignment="1">
      <alignment horizontal="center" vertical="center"/>
    </xf>
    <xf numFmtId="2" fontId="21" fillId="2" borderId="6" xfId="0" applyNumberFormat="1" applyFont="1" applyFill="1" applyBorder="1" applyAlignment="1">
      <alignment horizontal="center" vertical="center"/>
    </xf>
    <xf numFmtId="2" fontId="21" fillId="2" borderId="26" xfId="0" applyNumberFormat="1" applyFont="1" applyFill="1" applyBorder="1" applyAlignment="1">
      <alignment horizontal="center" vertical="center"/>
    </xf>
    <xf numFmtId="180" fontId="21" fillId="0" borderId="15" xfId="0" applyNumberFormat="1" applyFont="1" applyBorder="1" applyAlignment="1">
      <alignment horizontal="center" vertical="center"/>
    </xf>
    <xf numFmtId="180" fontId="21" fillId="0" borderId="62" xfId="0" applyNumberFormat="1" applyFont="1" applyBorder="1" applyAlignment="1">
      <alignment horizontal="center" vertical="center"/>
    </xf>
    <xf numFmtId="1" fontId="37" fillId="0" borderId="9" xfId="0" applyNumberFormat="1" applyFont="1" applyBorder="1" applyAlignment="1">
      <alignment horizontal="center" vertical="center"/>
    </xf>
    <xf numFmtId="180" fontId="21" fillId="0" borderId="63" xfId="0" applyNumberFormat="1" applyFont="1" applyBorder="1" applyAlignment="1">
      <alignment horizontal="center" vertical="center"/>
    </xf>
    <xf numFmtId="180" fontId="21" fillId="0" borderId="64" xfId="0" applyNumberFormat="1" applyFont="1" applyBorder="1" applyAlignment="1">
      <alignment horizontal="center" vertical="center"/>
    </xf>
    <xf numFmtId="49" fontId="33" fillId="0" borderId="36" xfId="0" applyNumberFormat="1" applyFont="1" applyBorder="1" applyAlignment="1">
      <alignment horizontal="center" vertical="center" textRotation="90"/>
    </xf>
    <xf numFmtId="0" fontId="34" fillId="0" borderId="37" xfId="0" applyFont="1" applyBorder="1" applyAlignment="1">
      <alignment horizontal="center"/>
    </xf>
    <xf numFmtId="2" fontId="21" fillId="0" borderId="60" xfId="0" applyNumberFormat="1" applyFont="1" applyBorder="1" applyAlignment="1">
      <alignment horizontal="center" vertical="center"/>
    </xf>
    <xf numFmtId="4" fontId="21" fillId="0" borderId="34" xfId="0" applyNumberFormat="1" applyFont="1" applyBorder="1" applyAlignment="1">
      <alignment horizontal="center" vertical="center"/>
    </xf>
    <xf numFmtId="1" fontId="38" fillId="0" borderId="34" xfId="0" applyNumberFormat="1" applyFont="1" applyBorder="1" applyAlignment="1">
      <alignment horizontal="center" vertical="center"/>
    </xf>
    <xf numFmtId="2" fontId="21" fillId="2" borderId="36" xfId="0" applyNumberFormat="1" applyFont="1" applyFill="1" applyBorder="1" applyAlignment="1">
      <alignment horizontal="center" vertical="center"/>
    </xf>
    <xf numFmtId="2" fontId="21" fillId="2" borderId="35" xfId="0" applyNumberFormat="1" applyFont="1" applyFill="1" applyBorder="1" applyAlignment="1">
      <alignment horizontal="center" vertical="center"/>
    </xf>
    <xf numFmtId="180" fontId="21" fillId="0" borderId="35" xfId="0" applyNumberFormat="1" applyFont="1" applyBorder="1" applyAlignment="1">
      <alignment horizontal="center" vertical="center"/>
    </xf>
    <xf numFmtId="49" fontId="39" fillId="0" borderId="0" xfId="0" applyNumberFormat="1" applyFont="1" applyBorder="1" applyAlignment="1">
      <alignment horizontal="center" vertical="center" textRotation="90"/>
    </xf>
    <xf numFmtId="0" fontId="15" fillId="2" borderId="0" xfId="0" applyFont="1" applyFill="1" applyBorder="1" applyAlignment="1">
      <alignment horizontal="center" vertical="center"/>
    </xf>
    <xf numFmtId="2" fontId="21" fillId="0" borderId="0" xfId="0" applyNumberFormat="1" applyFont="1" applyBorder="1" applyAlignment="1">
      <alignment horizontal="center" vertical="center"/>
    </xf>
    <xf numFmtId="180" fontId="21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1" fontId="36" fillId="0" borderId="0" xfId="0" applyNumberFormat="1" applyFont="1" applyBorder="1" applyAlignment="1">
      <alignment horizontal="center" vertical="center"/>
    </xf>
    <xf numFmtId="2" fontId="21" fillId="2" borderId="0" xfId="0" applyNumberFormat="1" applyFont="1" applyFill="1" applyBorder="1" applyAlignment="1">
      <alignment horizontal="center" vertical="center"/>
    </xf>
    <xf numFmtId="180" fontId="21" fillId="2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2" borderId="0" xfId="0" applyFont="1" applyFill="1" applyAlignment="1"/>
    <xf numFmtId="0" fontId="16" fillId="2" borderId="33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/>
    <xf numFmtId="2" fontId="21" fillId="0" borderId="53" xfId="0" applyNumberFormat="1" applyFont="1" applyBorder="1" applyAlignment="1"/>
    <xf numFmtId="0" fontId="16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40" fillId="2" borderId="34" xfId="0" applyFont="1" applyFill="1" applyBorder="1" applyAlignment="1">
      <alignment horizontal="center" vertical="center"/>
    </xf>
    <xf numFmtId="2" fontId="21" fillId="17" borderId="53" xfId="0" applyNumberFormat="1" applyFont="1" applyFill="1" applyBorder="1" applyAlignment="1"/>
    <xf numFmtId="0" fontId="16" fillId="2" borderId="9" xfId="0" applyFont="1" applyFill="1" applyBorder="1" applyAlignment="1">
      <alignment horizontal="center" vertical="center"/>
    </xf>
    <xf numFmtId="2" fontId="18" fillId="2" borderId="33" xfId="0" applyNumberFormat="1" applyFont="1" applyFill="1" applyBorder="1" applyAlignment="1">
      <alignment horizontal="center" vertical="center"/>
    </xf>
    <xf numFmtId="2" fontId="18" fillId="17" borderId="33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2" fontId="15" fillId="2" borderId="0" xfId="0" applyNumberFormat="1" applyFont="1" applyFill="1" applyBorder="1" applyAlignment="1">
      <alignment horizontal="left" vertical="center"/>
    </xf>
    <xf numFmtId="2" fontId="18" fillId="0" borderId="0" xfId="0" applyNumberFormat="1" applyFont="1" applyBorder="1">
      <alignment vertical="center"/>
    </xf>
    <xf numFmtId="2" fontId="14" fillId="0" borderId="0" xfId="0" applyNumberFormat="1" applyFont="1" applyBorder="1">
      <alignment vertical="center"/>
    </xf>
    <xf numFmtId="0" fontId="18" fillId="2" borderId="34" xfId="0" applyFont="1" applyFill="1" applyBorder="1" applyAlignment="1">
      <alignment horizontal="center" vertical="center"/>
    </xf>
    <xf numFmtId="0" fontId="18" fillId="17" borderId="34" xfId="0" applyFont="1" applyFill="1" applyBorder="1" applyAlignment="1">
      <alignment horizontal="center" vertical="center"/>
    </xf>
    <xf numFmtId="0" fontId="18" fillId="0" borderId="0" xfId="0" applyFont="1" applyBorder="1">
      <alignment vertical="center"/>
    </xf>
    <xf numFmtId="180" fontId="21" fillId="0" borderId="53" xfId="0" applyNumberFormat="1" applyFont="1" applyBorder="1" applyAlignment="1"/>
    <xf numFmtId="0" fontId="14" fillId="2" borderId="33" xfId="0" applyFont="1" applyFill="1" applyBorder="1" applyAlignment="1">
      <alignment horizontal="center" vertical="center"/>
    </xf>
    <xf numFmtId="2" fontId="32" fillId="2" borderId="33" xfId="0" applyNumberFormat="1" applyFont="1" applyFill="1" applyBorder="1" applyAlignment="1">
      <alignment horizontal="center" vertical="center"/>
    </xf>
    <xf numFmtId="2" fontId="10" fillId="2" borderId="0" xfId="0" applyNumberFormat="1" applyFont="1" applyFill="1" applyBorder="1" applyAlignment="1">
      <alignment horizontal="right" vertical="center"/>
    </xf>
    <xf numFmtId="2" fontId="18" fillId="0" borderId="0" xfId="0" applyNumberFormat="1" applyFont="1" applyBorder="1" applyAlignment="1"/>
    <xf numFmtId="0" fontId="32" fillId="2" borderId="34" xfId="0" applyFont="1" applyFill="1" applyBorder="1" applyAlignment="1">
      <alignment horizontal="center" vertical="center"/>
    </xf>
    <xf numFmtId="2" fontId="18" fillId="17" borderId="34" xfId="0" applyNumberFormat="1" applyFont="1" applyFill="1" applyBorder="1" applyAlignment="1">
      <alignment horizontal="center" vertical="center"/>
    </xf>
    <xf numFmtId="2" fontId="18" fillId="2" borderId="0" xfId="0" applyNumberFormat="1" applyFont="1" applyFill="1" applyBorder="1" applyAlignment="1">
      <alignment horizontal="right" vertical="center"/>
    </xf>
    <xf numFmtId="2" fontId="18" fillId="2" borderId="0" xfId="0" applyNumberFormat="1" applyFont="1" applyFill="1" applyBorder="1" applyAlignment="1">
      <alignment horizontal="left" vertical="center"/>
    </xf>
    <xf numFmtId="2" fontId="14" fillId="2" borderId="0" xfId="0" applyNumberFormat="1" applyFont="1" applyFill="1" applyBorder="1" applyAlignment="1">
      <alignment horizontal="left" vertical="center"/>
    </xf>
    <xf numFmtId="2" fontId="18" fillId="2" borderId="0" xfId="0" applyNumberFormat="1" applyFont="1" applyFill="1" applyBorder="1">
      <alignment vertical="center"/>
    </xf>
    <xf numFmtId="2" fontId="18" fillId="2" borderId="6" xfId="0" applyNumberFormat="1" applyFont="1" applyFill="1" applyBorder="1">
      <alignment vertical="center"/>
    </xf>
    <xf numFmtId="2" fontId="21" fillId="0" borderId="57" xfId="0" applyNumberFormat="1" applyFont="1" applyFill="1" applyBorder="1" applyAlignment="1"/>
    <xf numFmtId="0" fontId="14" fillId="2" borderId="9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18" fillId="0" borderId="0" xfId="0" applyFont="1" applyAlignment="1"/>
    <xf numFmtId="0" fontId="41" fillId="0" borderId="0" xfId="0" applyFont="1" applyAlignment="1"/>
    <xf numFmtId="1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88" fontId="3" fillId="0" borderId="37" xfId="0" applyNumberFormat="1" applyFont="1" applyBorder="1" applyAlignment="1">
      <alignment horizontal="center"/>
    </xf>
    <xf numFmtId="0" fontId="42" fillId="17" borderId="4" xfId="0" applyFont="1" applyFill="1" applyBorder="1" applyAlignment="1">
      <alignment horizontal="center"/>
    </xf>
    <xf numFmtId="0" fontId="3" fillId="17" borderId="1" xfId="0" applyFont="1" applyFill="1" applyBorder="1" applyAlignment="1"/>
    <xf numFmtId="0" fontId="43" fillId="0" borderId="2" xfId="0" applyFont="1" applyBorder="1" applyAlignment="1"/>
    <xf numFmtId="0" fontId="3" fillId="0" borderId="48" xfId="0" applyFont="1" applyBorder="1" applyAlignment="1"/>
    <xf numFmtId="0" fontId="3" fillId="8" borderId="48" xfId="0" applyFont="1" applyFill="1" applyBorder="1" applyAlignment="1"/>
    <xf numFmtId="0" fontId="3" fillId="0" borderId="3" xfId="0" applyFont="1" applyBorder="1" applyAlignment="1"/>
    <xf numFmtId="0" fontId="41" fillId="17" borderId="9" xfId="0" applyFont="1" applyFill="1" applyBorder="1" applyAlignment="1"/>
    <xf numFmtId="0" fontId="3" fillId="17" borderId="63" xfId="0" applyFont="1" applyFill="1" applyBorder="1" applyAlignment="1"/>
    <xf numFmtId="2" fontId="43" fillId="18" borderId="20" xfId="0" applyNumberFormat="1" applyFont="1" applyFill="1" applyBorder="1" applyAlignment="1"/>
    <xf numFmtId="2" fontId="3" fillId="2" borderId="2" xfId="0" applyNumberFormat="1" applyFont="1" applyFill="1" applyBorder="1" applyAlignment="1"/>
    <xf numFmtId="2" fontId="3" fillId="8" borderId="48" xfId="0" applyNumberFormat="1" applyFont="1" applyFill="1" applyBorder="1" applyAlignment="1"/>
    <xf numFmtId="2" fontId="3" fillId="2" borderId="48" xfId="0" applyNumberFormat="1" applyFont="1" applyFill="1" applyBorder="1" applyAlignment="1"/>
    <xf numFmtId="2" fontId="3" fillId="8" borderId="31" xfId="0" applyNumberFormat="1" applyFont="1" applyFill="1" applyBorder="1" applyAlignment="1"/>
    <xf numFmtId="0" fontId="3" fillId="17" borderId="4" xfId="0" applyFont="1" applyFill="1" applyBorder="1" applyAlignment="1"/>
    <xf numFmtId="2" fontId="43" fillId="18" borderId="24" xfId="0" applyNumberFormat="1" applyFont="1" applyFill="1" applyBorder="1" applyAlignment="1"/>
    <xf numFmtId="2" fontId="13" fillId="8" borderId="44" xfId="0" applyNumberFormat="1" applyFont="1" applyFill="1" applyBorder="1" applyAlignment="1"/>
    <xf numFmtId="2" fontId="13" fillId="8" borderId="65" xfId="0" applyNumberFormat="1" applyFont="1" applyFill="1" applyBorder="1" applyAlignment="1"/>
    <xf numFmtId="2" fontId="13" fillId="8" borderId="58" xfId="0" applyNumberFormat="1" applyFont="1" applyFill="1" applyBorder="1" applyAlignment="1"/>
    <xf numFmtId="0" fontId="41" fillId="0" borderId="33" xfId="0" applyFont="1" applyFill="1" applyBorder="1" applyAlignment="1">
      <alignment horizontal="center"/>
    </xf>
    <xf numFmtId="0" fontId="3" fillId="17" borderId="15" xfId="0" applyFont="1" applyFill="1" applyBorder="1" applyAlignment="1"/>
    <xf numFmtId="2" fontId="3" fillId="8" borderId="21" xfId="0" applyNumberFormat="1" applyFont="1" applyFill="1" applyBorder="1" applyAlignment="1"/>
    <xf numFmtId="2" fontId="3" fillId="8" borderId="53" xfId="0" applyNumberFormat="1" applyFont="1" applyFill="1" applyBorder="1" applyAlignment="1"/>
    <xf numFmtId="2" fontId="3" fillId="8" borderId="22" xfId="0" applyNumberFormat="1" applyFont="1" applyFill="1" applyBorder="1" applyAlignment="1"/>
    <xf numFmtId="2" fontId="3" fillId="8" borderId="24" xfId="0" applyNumberFormat="1" applyFont="1" applyFill="1" applyBorder="1" applyAlignment="1"/>
    <xf numFmtId="0" fontId="3" fillId="0" borderId="66" xfId="0" applyFont="1" applyFill="1" applyBorder="1" applyAlignment="1"/>
    <xf numFmtId="0" fontId="41" fillId="0" borderId="9" xfId="0" applyFont="1" applyFill="1" applyBorder="1" applyAlignment="1">
      <alignment horizontal="center"/>
    </xf>
    <xf numFmtId="0" fontId="3" fillId="17" borderId="23" xfId="0" applyFont="1" applyFill="1" applyBorder="1" applyAlignment="1"/>
    <xf numFmtId="2" fontId="43" fillId="19" borderId="24" xfId="0" applyNumberFormat="1" applyFont="1" applyFill="1" applyBorder="1" applyAlignment="1"/>
    <xf numFmtId="2" fontId="3" fillId="19" borderId="21" xfId="0" applyNumberFormat="1" applyFont="1" applyFill="1" applyBorder="1" applyAlignment="1"/>
    <xf numFmtId="2" fontId="3" fillId="19" borderId="53" xfId="0" applyNumberFormat="1" applyFont="1" applyFill="1" applyBorder="1" applyAlignment="1"/>
    <xf numFmtId="2" fontId="3" fillId="19" borderId="22" xfId="0" applyNumberFormat="1" applyFont="1" applyFill="1" applyBorder="1" applyAlignment="1"/>
    <xf numFmtId="0" fontId="41" fillId="17" borderId="34" xfId="0" applyFont="1" applyFill="1" applyBorder="1" applyAlignment="1">
      <alignment horizontal="center"/>
    </xf>
    <xf numFmtId="0" fontId="3" fillId="17" borderId="20" xfId="0" applyFont="1" applyFill="1" applyBorder="1" applyAlignment="1"/>
    <xf numFmtId="2" fontId="3" fillId="8" borderId="46" xfId="0" applyNumberFormat="1" applyFont="1" applyFill="1" applyBorder="1" applyAlignment="1"/>
    <xf numFmtId="2" fontId="3" fillId="8" borderId="47" xfId="0" applyNumberFormat="1" applyFont="1" applyFill="1" applyBorder="1" applyAlignment="1"/>
    <xf numFmtId="2" fontId="3" fillId="8" borderId="67" xfId="0" applyNumberFormat="1" applyFont="1" applyFill="1" applyBorder="1" applyAlignment="1"/>
    <xf numFmtId="2" fontId="3" fillId="8" borderId="68" xfId="0" applyNumberFormat="1" applyFont="1" applyFill="1" applyBorder="1" applyAlignment="1"/>
    <xf numFmtId="0" fontId="3" fillId="0" borderId="66" xfId="0" applyFont="1" applyBorder="1" applyAlignment="1"/>
    <xf numFmtId="2" fontId="43" fillId="18" borderId="0" xfId="0" applyNumberFormat="1" applyFont="1" applyFill="1" applyAlignment="1"/>
    <xf numFmtId="1" fontId="3" fillId="19" borderId="44" xfId="0" applyNumberFormat="1" applyFont="1" applyFill="1" applyBorder="1" applyAlignment="1"/>
    <xf numFmtId="1" fontId="3" fillId="19" borderId="65" xfId="0" applyNumberFormat="1" applyFont="1" applyFill="1" applyBorder="1" applyAlignment="1"/>
    <xf numFmtId="1" fontId="3" fillId="19" borderId="58" xfId="0" applyNumberFormat="1" applyFont="1" applyFill="1" applyBorder="1" applyAlignment="1"/>
    <xf numFmtId="2" fontId="3" fillId="8" borderId="69" xfId="0" applyNumberFormat="1" applyFont="1" applyFill="1" applyBorder="1" applyAlignment="1"/>
    <xf numFmtId="0" fontId="41" fillId="19" borderId="28" xfId="0" applyFont="1" applyFill="1" applyBorder="1" applyAlignment="1"/>
    <xf numFmtId="0" fontId="3" fillId="17" borderId="24" xfId="0" applyFont="1" applyFill="1" applyBorder="1" applyAlignment="1"/>
    <xf numFmtId="1" fontId="3" fillId="8" borderId="46" xfId="0" applyNumberFormat="1" applyFont="1" applyFill="1" applyBorder="1" applyAlignment="1"/>
    <xf numFmtId="1" fontId="3" fillId="8" borderId="47" xfId="0" applyNumberFormat="1" applyFont="1" applyFill="1" applyBorder="1" applyAlignment="1"/>
    <xf numFmtId="1" fontId="3" fillId="8" borderId="67" xfId="0" applyNumberFormat="1" applyFont="1" applyFill="1" applyBorder="1" applyAlignment="1"/>
    <xf numFmtId="2" fontId="3" fillId="8" borderId="70" xfId="0" applyNumberFormat="1" applyFont="1" applyFill="1" applyBorder="1" applyAlignment="1"/>
    <xf numFmtId="0" fontId="41" fillId="19" borderId="23" xfId="0" applyFont="1" applyFill="1" applyBorder="1" applyAlignment="1"/>
    <xf numFmtId="1" fontId="3" fillId="19" borderId="46" xfId="0" applyNumberFormat="1" applyFont="1" applyFill="1" applyBorder="1" applyAlignment="1"/>
    <xf numFmtId="1" fontId="3" fillId="19" borderId="47" xfId="0" applyNumberFormat="1" applyFont="1" applyFill="1" applyBorder="1" applyAlignment="1"/>
    <xf numFmtId="1" fontId="3" fillId="19" borderId="67" xfId="0" applyNumberFormat="1" applyFont="1" applyFill="1" applyBorder="1" applyAlignment="1"/>
    <xf numFmtId="0" fontId="41" fillId="19" borderId="13" xfId="0" applyFont="1" applyFill="1" applyBorder="1" applyAlignment="1"/>
    <xf numFmtId="0" fontId="3" fillId="17" borderId="44" xfId="0" applyFont="1" applyFill="1" applyBorder="1" applyAlignment="1"/>
    <xf numFmtId="0" fontId="3" fillId="17" borderId="65" xfId="0" applyFont="1" applyFill="1" applyBorder="1" applyAlignment="1"/>
    <xf numFmtId="0" fontId="3" fillId="17" borderId="58" xfId="0" applyFont="1" applyFill="1" applyBorder="1" applyAlignment="1"/>
    <xf numFmtId="2" fontId="3" fillId="8" borderId="0" xfId="0" applyNumberFormat="1" applyFont="1" applyFill="1" applyBorder="1" applyAlignment="1"/>
    <xf numFmtId="0" fontId="41" fillId="17" borderId="34" xfId="0" applyFont="1" applyFill="1" applyBorder="1" applyAlignment="1"/>
    <xf numFmtId="0" fontId="3" fillId="17" borderId="11" xfId="0" applyFont="1" applyFill="1" applyBorder="1" applyAlignment="1"/>
    <xf numFmtId="0" fontId="3" fillId="17" borderId="45" xfId="0" applyFont="1" applyFill="1" applyBorder="1" applyAlignment="1"/>
    <xf numFmtId="0" fontId="3" fillId="17" borderId="12" xfId="0" applyFont="1" applyFill="1" applyBorder="1" applyAlignment="1"/>
    <xf numFmtId="0" fontId="41" fillId="0" borderId="33" xfId="0" applyFont="1" applyBorder="1" applyAlignment="1">
      <alignment horizontal="center"/>
    </xf>
    <xf numFmtId="2" fontId="44" fillId="20" borderId="20" xfId="0" applyNumberFormat="1" applyFont="1" applyFill="1" applyBorder="1" applyAlignment="1"/>
    <xf numFmtId="1" fontId="45" fillId="17" borderId="7" xfId="0" applyNumberFormat="1" applyFont="1" applyFill="1" applyBorder="1" applyAlignment="1"/>
    <xf numFmtId="1" fontId="45" fillId="8" borderId="57" xfId="0" applyNumberFormat="1" applyFont="1" applyFill="1" applyBorder="1" applyAlignment="1"/>
    <xf numFmtId="1" fontId="45" fillId="8" borderId="8" xfId="0" applyNumberFormat="1" applyFont="1" applyFill="1" applyBorder="1" applyAlignment="1"/>
    <xf numFmtId="2" fontId="3" fillId="8" borderId="19" xfId="0" applyNumberFormat="1" applyFont="1" applyFill="1" applyBorder="1" applyAlignment="1"/>
    <xf numFmtId="0" fontId="41" fillId="0" borderId="9" xfId="0" applyFont="1" applyBorder="1" applyAlignment="1">
      <alignment horizontal="center"/>
    </xf>
    <xf numFmtId="2" fontId="3" fillId="19" borderId="44" xfId="0" applyNumberFormat="1" applyFont="1" applyFill="1" applyBorder="1" applyAlignment="1"/>
    <xf numFmtId="2" fontId="3" fillId="19" borderId="65" xfId="0" applyNumberFormat="1" applyFont="1" applyFill="1" applyBorder="1" applyAlignment="1"/>
    <xf numFmtId="2" fontId="3" fillId="19" borderId="58" xfId="0" applyNumberFormat="1" applyFont="1" applyFill="1" applyBorder="1" applyAlignment="1"/>
    <xf numFmtId="2" fontId="43" fillId="0" borderId="20" xfId="0" applyNumberFormat="1" applyFont="1" applyBorder="1" applyAlignment="1"/>
    <xf numFmtId="2" fontId="3" fillId="17" borderId="11" xfId="0" applyNumberFormat="1" applyFont="1" applyFill="1" applyBorder="1" applyAlignment="1"/>
    <xf numFmtId="2" fontId="3" fillId="17" borderId="45" xfId="0" applyNumberFormat="1" applyFont="1" applyFill="1" applyBorder="1" applyAlignment="1"/>
    <xf numFmtId="2" fontId="3" fillId="17" borderId="12" xfId="0" applyNumberFormat="1" applyFont="1" applyFill="1" applyBorder="1" applyAlignment="1"/>
    <xf numFmtId="2" fontId="3" fillId="0" borderId="24" xfId="0" applyNumberFormat="1" applyFont="1" applyBorder="1" applyAlignment="1"/>
    <xf numFmtId="2" fontId="43" fillId="8" borderId="20" xfId="0" applyNumberFormat="1" applyFont="1" applyFill="1" applyBorder="1" applyAlignment="1"/>
    <xf numFmtId="2" fontId="3" fillId="19" borderId="16" xfId="0" applyNumberFormat="1" applyFont="1" applyFill="1" applyBorder="1" applyAlignment="1"/>
    <xf numFmtId="2" fontId="3" fillId="19" borderId="71" xfId="0" applyNumberFormat="1" applyFont="1" applyFill="1" applyBorder="1" applyAlignment="1"/>
    <xf numFmtId="2" fontId="3" fillId="19" borderId="17" xfId="0" applyNumberFormat="1" applyFont="1" applyFill="1" applyBorder="1" applyAlignment="1"/>
    <xf numFmtId="2" fontId="3" fillId="8" borderId="56" xfId="0" applyNumberFormat="1" applyFont="1" applyFill="1" applyBorder="1" applyAlignment="1"/>
    <xf numFmtId="0" fontId="3" fillId="0" borderId="0" xfId="0" applyFont="1" applyBorder="1" applyAlignment="1"/>
    <xf numFmtId="0" fontId="41" fillId="0" borderId="34" xfId="0" applyFont="1" applyBorder="1" applyAlignment="1">
      <alignment horizontal="center"/>
    </xf>
    <xf numFmtId="2" fontId="43" fillId="17" borderId="20" xfId="0" applyNumberFormat="1" applyFont="1" applyFill="1" applyBorder="1" applyAlignment="1"/>
    <xf numFmtId="2" fontId="3" fillId="19" borderId="28" xfId="0" applyNumberFormat="1" applyFont="1" applyFill="1" applyBorder="1" applyAlignment="1"/>
    <xf numFmtId="2" fontId="3" fillId="2" borderId="44" xfId="0" applyNumberFormat="1" applyFont="1" applyFill="1" applyBorder="1" applyAlignment="1"/>
    <xf numFmtId="2" fontId="3" fillId="2" borderId="65" xfId="0" applyNumberFormat="1" applyFont="1" applyFill="1" applyBorder="1" applyAlignment="1"/>
    <xf numFmtId="2" fontId="3" fillId="2" borderId="58" xfId="0" applyNumberFormat="1" applyFont="1" applyFill="1" applyBorder="1" applyAlignment="1"/>
    <xf numFmtId="2" fontId="3" fillId="0" borderId="69" xfId="0" applyNumberFormat="1" applyFont="1" applyBorder="1" applyAlignment="1"/>
    <xf numFmtId="0" fontId="46" fillId="0" borderId="9" xfId="0" applyFont="1" applyBorder="1" applyAlignment="1"/>
    <xf numFmtId="2" fontId="3" fillId="8" borderId="11" xfId="0" applyNumberFormat="1" applyFont="1" applyFill="1" applyBorder="1" applyAlignment="1"/>
    <xf numFmtId="2" fontId="3" fillId="8" borderId="45" xfId="0" applyNumberFormat="1" applyFont="1" applyFill="1" applyBorder="1" applyAlignment="1"/>
    <xf numFmtId="0" fontId="3" fillId="19" borderId="0" xfId="0" applyFont="1" applyFill="1" applyBorder="1" applyAlignment="1"/>
    <xf numFmtId="0" fontId="41" fillId="17" borderId="4" xfId="0" applyFont="1" applyFill="1" applyBorder="1" applyAlignment="1"/>
    <xf numFmtId="0" fontId="3" fillId="17" borderId="10" xfId="0" applyFont="1" applyFill="1" applyBorder="1" applyAlignment="1"/>
    <xf numFmtId="2" fontId="43" fillId="17" borderId="10" xfId="0" applyNumberFormat="1" applyFont="1" applyFill="1" applyBorder="1" applyAlignment="1"/>
    <xf numFmtId="1" fontId="13" fillId="8" borderId="59" xfId="0" applyNumberFormat="1" applyFont="1" applyFill="1" applyBorder="1" applyAlignment="1"/>
    <xf numFmtId="1" fontId="13" fillId="8" borderId="72" xfId="0" applyNumberFormat="1" applyFont="1" applyFill="1" applyBorder="1" applyAlignment="1"/>
    <xf numFmtId="1" fontId="13" fillId="8" borderId="73" xfId="0" applyNumberFormat="1" applyFont="1" applyFill="1" applyBorder="1" applyAlignment="1"/>
    <xf numFmtId="0" fontId="41" fillId="17" borderId="33" xfId="0" applyFont="1" applyFill="1" applyBorder="1" applyAlignment="1"/>
    <xf numFmtId="0" fontId="3" fillId="8" borderId="23" xfId="0" applyFont="1" applyFill="1" applyBorder="1" applyAlignment="1"/>
    <xf numFmtId="2" fontId="47" fillId="8" borderId="21" xfId="0" applyNumberFormat="1" applyFont="1" applyFill="1" applyBorder="1" applyAlignment="1"/>
    <xf numFmtId="2" fontId="47" fillId="8" borderId="53" xfId="0" applyNumberFormat="1" applyFont="1" applyFill="1" applyBorder="1" applyAlignment="1"/>
    <xf numFmtId="0" fontId="3" fillId="0" borderId="0" xfId="0" applyFont="1" applyFill="1" applyBorder="1" applyAlignment="1"/>
    <xf numFmtId="0" fontId="3" fillId="8" borderId="74" xfId="0" applyFont="1" applyFill="1" applyBorder="1" applyAlignment="1"/>
    <xf numFmtId="2" fontId="43" fillId="8" borderId="63" xfId="0" applyNumberFormat="1" applyFont="1" applyFill="1" applyBorder="1" applyAlignment="1"/>
    <xf numFmtId="0" fontId="41" fillId="17" borderId="28" xfId="0" applyFont="1" applyFill="1" applyBorder="1" applyAlignment="1"/>
    <xf numFmtId="0" fontId="43" fillId="17" borderId="23" xfId="0" applyFont="1" applyFill="1" applyBorder="1" applyAlignment="1"/>
    <xf numFmtId="2" fontId="3" fillId="17" borderId="56" xfId="0" applyNumberFormat="1" applyFont="1" applyFill="1" applyBorder="1" applyAlignment="1"/>
    <xf numFmtId="0" fontId="3" fillId="17" borderId="22" xfId="0" applyFont="1" applyFill="1" applyBorder="1" applyAlignment="1"/>
    <xf numFmtId="2" fontId="41" fillId="17" borderId="13" xfId="0" applyNumberFormat="1" applyFont="1" applyFill="1" applyBorder="1" applyAlignment="1"/>
    <xf numFmtId="2" fontId="13" fillId="17" borderId="56" xfId="0" applyNumberFormat="1" applyFont="1" applyFill="1" applyBorder="1" applyAlignment="1"/>
    <xf numFmtId="2" fontId="3" fillId="17" borderId="22" xfId="0" applyNumberFormat="1" applyFont="1" applyFill="1" applyBorder="1" applyAlignment="1"/>
    <xf numFmtId="2" fontId="3" fillId="17" borderId="53" xfId="0" applyNumberFormat="1" applyFont="1" applyFill="1" applyBorder="1" applyAlignment="1"/>
    <xf numFmtId="0" fontId="3" fillId="17" borderId="56" xfId="0" applyFont="1" applyFill="1" applyBorder="1" applyAlignment="1"/>
    <xf numFmtId="0" fontId="3" fillId="17" borderId="75" xfId="0" applyFont="1" applyFill="1" applyBorder="1" applyAlignment="1"/>
    <xf numFmtId="0" fontId="43" fillId="17" borderId="76" xfId="0" applyFont="1" applyFill="1" applyBorder="1" applyAlignment="1"/>
    <xf numFmtId="2" fontId="13" fillId="17" borderId="68" xfId="0" applyNumberFormat="1" applyFont="1" applyFill="1" applyBorder="1" applyAlignment="1"/>
    <xf numFmtId="182" fontId="13" fillId="17" borderId="77" xfId="0" applyNumberFormat="1" applyFont="1" applyFill="1" applyBorder="1" applyAlignment="1"/>
    <xf numFmtId="0" fontId="3" fillId="17" borderId="78" xfId="0" applyFont="1" applyFill="1" applyBorder="1" applyAlignment="1"/>
    <xf numFmtId="0" fontId="3" fillId="17" borderId="18" xfId="0" applyFont="1" applyFill="1" applyBorder="1" applyAlignment="1"/>
    <xf numFmtId="0" fontId="43" fillId="17" borderId="18" xfId="0" applyFont="1" applyFill="1" applyBorder="1" applyAlignment="1"/>
    <xf numFmtId="2" fontId="3" fillId="17" borderId="69" xfId="0" applyNumberFormat="1" applyFont="1" applyFill="1" applyBorder="1" applyAlignment="1"/>
    <xf numFmtId="0" fontId="3" fillId="17" borderId="74" xfId="0" applyFont="1" applyFill="1" applyBorder="1" applyAlignment="1"/>
    <xf numFmtId="2" fontId="3" fillId="17" borderId="70" xfId="0" applyNumberFormat="1" applyFont="1" applyFill="1" applyBorder="1" applyAlignment="1"/>
    <xf numFmtId="0" fontId="3" fillId="17" borderId="49" xfId="0" applyFont="1" applyFill="1" applyBorder="1" applyAlignment="1"/>
    <xf numFmtId="0" fontId="3" fillId="17" borderId="79" xfId="0" applyFont="1" applyFill="1" applyBorder="1" applyAlignment="1"/>
    <xf numFmtId="2" fontId="3" fillId="17" borderId="79" xfId="0" applyNumberFormat="1" applyFont="1" applyFill="1" applyBorder="1" applyAlignment="1"/>
    <xf numFmtId="2" fontId="3" fillId="17" borderId="80" xfId="0" applyNumberFormat="1" applyFont="1" applyFill="1" applyBorder="1" applyAlignment="1"/>
    <xf numFmtId="0" fontId="3" fillId="17" borderId="28" xfId="0" applyFont="1" applyFill="1" applyBorder="1" applyAlignment="1"/>
    <xf numFmtId="0" fontId="3" fillId="17" borderId="81" xfId="0" applyFont="1" applyFill="1" applyBorder="1" applyAlignment="1"/>
    <xf numFmtId="2" fontId="3" fillId="17" borderId="65" xfId="0" applyNumberFormat="1" applyFont="1" applyFill="1" applyBorder="1" applyAlignment="1"/>
    <xf numFmtId="0" fontId="13" fillId="17" borderId="67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3" fillId="17" borderId="70" xfId="0" applyFont="1" applyFill="1" applyBorder="1" applyAlignment="1"/>
    <xf numFmtId="2" fontId="3" fillId="17" borderId="47" xfId="0" applyNumberFormat="1" applyFont="1" applyFill="1" applyBorder="1" applyAlignment="1"/>
    <xf numFmtId="0" fontId="3" fillId="17" borderId="67" xfId="0" applyFont="1" applyFill="1" applyBorder="1" applyAlignment="1"/>
    <xf numFmtId="0" fontId="3" fillId="17" borderId="33" xfId="0" applyFont="1" applyFill="1" applyBorder="1" applyAlignment="1"/>
    <xf numFmtId="0" fontId="3" fillId="17" borderId="82" xfId="0" applyFont="1" applyFill="1" applyBorder="1" applyAlignment="1"/>
    <xf numFmtId="2" fontId="13" fillId="17" borderId="79" xfId="0" applyNumberFormat="1" applyFont="1" applyFill="1" applyBorder="1" applyAlignment="1"/>
    <xf numFmtId="0" fontId="3" fillId="17" borderId="80" xfId="0" applyFont="1" applyFill="1" applyBorder="1" applyAlignment="1"/>
    <xf numFmtId="0" fontId="3" fillId="17" borderId="83" xfId="0" applyFont="1" applyFill="1" applyBorder="1" applyAlignment="1"/>
    <xf numFmtId="2" fontId="13" fillId="17" borderId="48" xfId="0" applyNumberFormat="1" applyFont="1" applyFill="1" applyBorder="1" applyAlignment="1"/>
    <xf numFmtId="2" fontId="3" fillId="17" borderId="3" xfId="0" applyNumberFormat="1" applyFont="1" applyFill="1" applyBorder="1" applyAlignment="1"/>
    <xf numFmtId="0" fontId="48" fillId="0" borderId="1" xfId="0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83" xfId="0" applyFont="1" applyBorder="1" applyAlignment="1">
      <alignment horizontal="center"/>
    </xf>
    <xf numFmtId="0" fontId="3" fillId="0" borderId="83" xfId="0" applyFont="1" applyBorder="1" applyAlignment="1"/>
    <xf numFmtId="0" fontId="3" fillId="0" borderId="16" xfId="0" applyFont="1" applyBorder="1" applyAlignment="1"/>
    <xf numFmtId="0" fontId="3" fillId="0" borderId="71" xfId="0" applyFont="1" applyBorder="1" applyAlignment="1"/>
    <xf numFmtId="0" fontId="3" fillId="0" borderId="17" xfId="0" applyFont="1" applyBorder="1" applyAlignment="1"/>
    <xf numFmtId="0" fontId="3" fillId="0" borderId="69" xfId="0" applyFon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3" fillId="0" borderId="21" xfId="0" applyFont="1" applyBorder="1" applyAlignment="1"/>
    <xf numFmtId="0" fontId="3" fillId="0" borderId="53" xfId="0" applyFont="1" applyBorder="1" applyAlignment="1"/>
    <xf numFmtId="0" fontId="3" fillId="0" borderId="22" xfId="0" applyFont="1" applyBorder="1" applyAlignment="1"/>
    <xf numFmtId="0" fontId="3" fillId="0" borderId="56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48" fillId="0" borderId="20" xfId="0" applyFont="1" applyBorder="1" applyAlignment="1">
      <alignment horizontal="center"/>
    </xf>
    <xf numFmtId="0" fontId="48" fillId="0" borderId="24" xfId="0" applyFont="1" applyBorder="1" applyAlignment="1">
      <alignment horizontal="center"/>
    </xf>
    <xf numFmtId="0" fontId="48" fillId="0" borderId="56" xfId="0" applyFont="1" applyBorder="1" applyAlignment="1">
      <alignment horizontal="center"/>
    </xf>
    <xf numFmtId="0" fontId="3" fillId="0" borderId="56" xfId="0" applyFont="1" applyBorder="1" applyAlignment="1"/>
    <xf numFmtId="0" fontId="3" fillId="0" borderId="11" xfId="0" applyFont="1" applyBorder="1" applyAlignment="1"/>
    <xf numFmtId="0" fontId="3" fillId="0" borderId="45" xfId="0" applyFont="1" applyBorder="1" applyAlignment="1"/>
    <xf numFmtId="0" fontId="3" fillId="0" borderId="12" xfId="0" applyFont="1" applyBorder="1" applyAlignment="1"/>
    <xf numFmtId="0" fontId="41" fillId="0" borderId="59" xfId="0" applyFont="1" applyBorder="1" applyAlignment="1"/>
    <xf numFmtId="0" fontId="3" fillId="0" borderId="72" xfId="0" applyFont="1" applyBorder="1" applyAlignment="1"/>
    <xf numFmtId="182" fontId="2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84" fontId="3" fillId="17" borderId="56" xfId="0" applyNumberFormat="1" applyFont="1" applyFill="1" applyBorder="1" applyAlignment="1"/>
    <xf numFmtId="0" fontId="14" fillId="0" borderId="44" xfId="0" applyFont="1" applyBorder="1" applyAlignment="1"/>
    <xf numFmtId="0" fontId="14" fillId="0" borderId="65" xfId="0" applyFont="1" applyBorder="1" applyAlignment="1"/>
    <xf numFmtId="0" fontId="14" fillId="0" borderId="58" xfId="0" applyFont="1" applyBorder="1" applyAlignment="1"/>
    <xf numFmtId="0" fontId="18" fillId="17" borderId="55" xfId="0" applyFont="1" applyFill="1" applyBorder="1" applyAlignment="1"/>
    <xf numFmtId="0" fontId="18" fillId="17" borderId="24" xfId="0" applyFont="1" applyFill="1" applyBorder="1" applyAlignment="1"/>
    <xf numFmtId="0" fontId="14" fillId="17" borderId="24" xfId="0" applyFont="1" applyFill="1" applyBorder="1" applyAlignment="1"/>
    <xf numFmtId="0" fontId="18" fillId="17" borderId="21" xfId="0" applyFont="1" applyFill="1" applyBorder="1" applyAlignment="1"/>
    <xf numFmtId="0" fontId="18" fillId="17" borderId="53" xfId="0" applyFont="1" applyFill="1" applyBorder="1" applyAlignment="1"/>
    <xf numFmtId="0" fontId="18" fillId="0" borderId="53" xfId="0" applyFont="1" applyBorder="1" applyAlignment="1"/>
    <xf numFmtId="0" fontId="18" fillId="0" borderId="22" xfId="0" applyFont="1" applyBorder="1" applyAlignment="1"/>
    <xf numFmtId="0" fontId="18" fillId="0" borderId="21" xfId="0" applyFont="1" applyBorder="1" applyAlignment="1"/>
    <xf numFmtId="0" fontId="18" fillId="17" borderId="22" xfId="0" applyFont="1" applyFill="1" applyBorder="1" applyAlignment="1"/>
    <xf numFmtId="0" fontId="18" fillId="0" borderId="11" xfId="0" applyFont="1" applyBorder="1" applyAlignment="1"/>
    <xf numFmtId="0" fontId="18" fillId="0" borderId="45" xfId="0" applyFont="1" applyBorder="1" applyAlignment="1"/>
    <xf numFmtId="0" fontId="18" fillId="0" borderId="12" xfId="0" applyFont="1" applyBorder="1" applyAlignment="1"/>
    <xf numFmtId="0" fontId="14" fillId="0" borderId="49" xfId="0" applyFont="1" applyBorder="1" applyAlignment="1"/>
    <xf numFmtId="0" fontId="14" fillId="0" borderId="79" xfId="0" applyFont="1" applyBorder="1" applyAlignment="1"/>
    <xf numFmtId="0" fontId="14" fillId="0" borderId="80" xfId="0" applyFont="1" applyBorder="1" applyAlignment="1"/>
    <xf numFmtId="0" fontId="18" fillId="17" borderId="44" xfId="0" applyFont="1" applyFill="1" applyBorder="1" applyAlignment="1"/>
    <xf numFmtId="0" fontId="18" fillId="17" borderId="65" xfId="0" applyFont="1" applyFill="1" applyBorder="1" applyAlignment="1"/>
    <xf numFmtId="0" fontId="18" fillId="0" borderId="65" xfId="0" applyFont="1" applyBorder="1" applyAlignment="1"/>
    <xf numFmtId="0" fontId="18" fillId="0" borderId="58" xfId="0" applyFont="1" applyBorder="1" applyAlignment="1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 applyAlignment="1"/>
    <xf numFmtId="0" fontId="16" fillId="0" borderId="0" xfId="0" applyFont="1" applyAlignment="1"/>
    <xf numFmtId="0" fontId="49" fillId="0" borderId="0" xfId="0" applyFont="1" applyAlignment="1"/>
    <xf numFmtId="188" fontId="4" fillId="0" borderId="0" xfId="0" applyNumberFormat="1" applyFont="1" applyAlignment="1">
      <alignment horizontal="left"/>
    </xf>
    <xf numFmtId="0" fontId="3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53" xfId="0" applyFont="1" applyBorder="1" applyAlignment="1"/>
    <xf numFmtId="0" fontId="4" fillId="0" borderId="53" xfId="0" applyFont="1" applyBorder="1" applyAlignment="1">
      <alignment horizontal="center"/>
    </xf>
    <xf numFmtId="0" fontId="4" fillId="0" borderId="0" xfId="0" applyFont="1" applyAlignment="1">
      <alignment horizontal="left"/>
    </xf>
    <xf numFmtId="2" fontId="4" fillId="21" borderId="53" xfId="0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53" xfId="0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80" fontId="4" fillId="22" borderId="53" xfId="0" applyNumberFormat="1" applyFont="1" applyFill="1" applyBorder="1" applyAlignment="1">
      <alignment horizontal="right"/>
    </xf>
    <xf numFmtId="0" fontId="50" fillId="0" borderId="53" xfId="0" applyFont="1" applyBorder="1" applyAlignment="1">
      <alignment horizontal="right"/>
    </xf>
    <xf numFmtId="180" fontId="4" fillId="22" borderId="53" xfId="0" applyNumberFormat="1" applyFont="1" applyFill="1" applyBorder="1" applyAlignment="1">
      <alignment horizontal="left"/>
    </xf>
    <xf numFmtId="0" fontId="2" fillId="0" borderId="53" xfId="0" applyFont="1" applyBorder="1" applyAlignment="1"/>
    <xf numFmtId="2" fontId="51" fillId="22" borderId="53" xfId="0" applyNumberFormat="1" applyFont="1" applyFill="1" applyBorder="1" applyAlignment="1">
      <alignment horizontal="center"/>
    </xf>
    <xf numFmtId="0" fontId="4" fillId="0" borderId="53" xfId="0" applyFont="1" applyBorder="1" applyAlignment="1">
      <alignment horizontal="right"/>
    </xf>
    <xf numFmtId="1" fontId="4" fillId="0" borderId="0" xfId="0" applyNumberFormat="1" applyFont="1" applyAlignment="1">
      <alignment horizontal="left"/>
    </xf>
    <xf numFmtId="2" fontId="4" fillId="0" borderId="53" xfId="0" applyNumberFormat="1" applyFont="1" applyBorder="1" applyAlignment="1"/>
    <xf numFmtId="0" fontId="26" fillId="0" borderId="0" xfId="0" applyFont="1" applyAlignment="1"/>
    <xf numFmtId="0" fontId="52" fillId="17" borderId="4" xfId="0" applyFont="1" applyFill="1" applyBorder="1" applyAlignment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47" xfId="0" applyFont="1" applyBorder="1" applyAlignment="1">
      <alignment horizontal="left"/>
    </xf>
    <xf numFmtId="2" fontId="4" fillId="22" borderId="45" xfId="0" applyNumberFormat="1" applyFont="1" applyFill="1" applyBorder="1" applyAlignment="1">
      <alignment horizontal="right"/>
    </xf>
    <xf numFmtId="0" fontId="4" fillId="0" borderId="45" xfId="0" applyFont="1" applyBorder="1" applyAlignment="1">
      <alignment horizontal="right"/>
    </xf>
    <xf numFmtId="182" fontId="4" fillId="0" borderId="45" xfId="0" applyNumberFormat="1" applyFont="1" applyBorder="1" applyAlignment="1"/>
    <xf numFmtId="182" fontId="4" fillId="22" borderId="53" xfId="0" applyNumberFormat="1" applyFont="1" applyFill="1" applyBorder="1" applyAlignment="1"/>
    <xf numFmtId="182" fontId="4" fillId="22" borderId="53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5" xfId="0" applyFont="1" applyBorder="1" applyAlignment="1"/>
    <xf numFmtId="0" fontId="2" fillId="0" borderId="25" xfId="0" applyFont="1" applyBorder="1" applyAlignment="1"/>
    <xf numFmtId="0" fontId="2" fillId="0" borderId="38" xfId="0" applyFont="1" applyBorder="1" applyAlignment="1"/>
    <xf numFmtId="0" fontId="3" fillId="0" borderId="39" xfId="0" applyFont="1" applyBorder="1" applyAlignment="1">
      <alignment horizontal="center" vertical="center" wrapText="1"/>
    </xf>
    <xf numFmtId="0" fontId="53" fillId="0" borderId="49" xfId="0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textRotation="90" wrapText="1"/>
    </xf>
    <xf numFmtId="0" fontId="5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53" fillId="0" borderId="33" xfId="0" applyFont="1" applyBorder="1" applyAlignment="1">
      <alignment horizontal="center" vertical="center" textRotation="90" wrapText="1"/>
    </xf>
    <xf numFmtId="0" fontId="53" fillId="0" borderId="4" xfId="0" applyFont="1" applyBorder="1" applyAlignment="1">
      <alignment horizontal="center" vertical="center" textRotation="90" wrapText="1"/>
    </xf>
    <xf numFmtId="0" fontId="3" fillId="0" borderId="82" xfId="0" applyFont="1" applyBorder="1" applyAlignment="1">
      <alignment horizontal="center" vertical="center" wrapText="1"/>
    </xf>
    <xf numFmtId="0" fontId="2" fillId="0" borderId="33" xfId="0" applyFont="1" applyBorder="1" applyAlignment="1"/>
    <xf numFmtId="0" fontId="3" fillId="0" borderId="33" xfId="0" applyFont="1" applyBorder="1" applyAlignment="1">
      <alignment horizontal="center" vertical="center" wrapText="1"/>
    </xf>
    <xf numFmtId="0" fontId="54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textRotation="90" wrapText="1"/>
    </xf>
    <xf numFmtId="0" fontId="3" fillId="0" borderId="3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5" fillId="0" borderId="38" xfId="0" applyFont="1" applyBorder="1" applyAlignment="1">
      <alignment horizontal="center" vertical="center" wrapText="1"/>
    </xf>
    <xf numFmtId="1" fontId="3" fillId="22" borderId="27" xfId="0" applyNumberFormat="1" applyFont="1" applyFill="1" applyBorder="1" applyAlignment="1">
      <alignment horizontal="center" vertical="center"/>
    </xf>
    <xf numFmtId="1" fontId="3" fillId="22" borderId="28" xfId="0" applyNumberFormat="1" applyFont="1" applyFill="1" applyBorder="1" applyAlignment="1">
      <alignment horizontal="center" vertical="center"/>
    </xf>
    <xf numFmtId="1" fontId="3" fillId="22" borderId="29" xfId="0" applyNumberFormat="1" applyFont="1" applyFill="1" applyBorder="1" applyAlignment="1">
      <alignment horizontal="center" vertical="center"/>
    </xf>
    <xf numFmtId="1" fontId="3" fillId="22" borderId="44" xfId="0" applyNumberFormat="1" applyFont="1" applyFill="1" applyBorder="1" applyAlignment="1">
      <alignment horizontal="center" vertical="center"/>
    </xf>
    <xf numFmtId="1" fontId="3" fillId="22" borderId="65" xfId="0" applyNumberFormat="1" applyFont="1" applyFill="1" applyBorder="1" applyAlignment="1">
      <alignment horizontal="center" vertical="center"/>
    </xf>
    <xf numFmtId="1" fontId="3" fillId="22" borderId="58" xfId="0" applyNumberFormat="1" applyFont="1" applyFill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0" fontId="3" fillId="22" borderId="65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180" fontId="3" fillId="22" borderId="81" xfId="0" applyNumberFormat="1" applyFont="1" applyFill="1" applyBorder="1" applyAlignment="1">
      <alignment horizontal="center" vertical="center"/>
    </xf>
    <xf numFmtId="180" fontId="3" fillId="0" borderId="84" xfId="0" applyNumberFormat="1" applyFont="1" applyBorder="1" applyAlignment="1">
      <alignment horizontal="center" vertical="center"/>
    </xf>
    <xf numFmtId="180" fontId="3" fillId="0" borderId="81" xfId="0" applyNumberFormat="1" applyFont="1" applyBorder="1" applyAlignment="1">
      <alignment horizontal="center" vertical="center"/>
    </xf>
    <xf numFmtId="180" fontId="3" fillId="22" borderId="84" xfId="0" applyNumberFormat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39" xfId="0" applyFont="1" applyBorder="1" applyAlignment="1">
      <alignment textRotation="90"/>
    </xf>
    <xf numFmtId="1" fontId="3" fillId="0" borderId="27" xfId="0" applyNumberFormat="1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180" fontId="3" fillId="22" borderId="28" xfId="0" applyNumberFormat="1" applyFont="1" applyFill="1" applyBorder="1" applyAlignment="1">
      <alignment horizontal="center" vertical="center"/>
    </xf>
    <xf numFmtId="180" fontId="3" fillId="0" borderId="58" xfId="0" applyNumberFormat="1" applyFont="1" applyBorder="1" applyAlignment="1">
      <alignment horizontal="center" vertical="center"/>
    </xf>
    <xf numFmtId="1" fontId="3" fillId="22" borderId="20" xfId="0" applyNumberFormat="1" applyFont="1" applyFill="1" applyBorder="1" applyAlignment="1">
      <alignment horizontal="center" vertical="center"/>
    </xf>
    <xf numFmtId="1" fontId="3" fillId="22" borderId="23" xfId="0" applyNumberFormat="1" applyFont="1" applyFill="1" applyBorder="1" applyAlignment="1">
      <alignment horizontal="center" vertical="center"/>
    </xf>
    <xf numFmtId="1" fontId="3" fillId="22" borderId="24" xfId="0" applyNumberFormat="1" applyFont="1" applyFill="1" applyBorder="1" applyAlignment="1">
      <alignment horizontal="center" vertical="center"/>
    </xf>
    <xf numFmtId="1" fontId="3" fillId="22" borderId="53" xfId="0" applyNumberFormat="1" applyFont="1" applyFill="1" applyBorder="1" applyAlignment="1">
      <alignment horizontal="center" vertical="center"/>
    </xf>
    <xf numFmtId="1" fontId="3" fillId="22" borderId="22" xfId="0" applyNumberFormat="1" applyFont="1" applyFill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0" fontId="3" fillId="22" borderId="53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80" fontId="3" fillId="22" borderId="56" xfId="0" applyNumberFormat="1" applyFont="1" applyFill="1" applyBorder="1" applyAlignment="1">
      <alignment horizontal="center" vertical="center"/>
    </xf>
    <xf numFmtId="180" fontId="3" fillId="22" borderId="55" xfId="0" applyNumberFormat="1" applyFont="1" applyFill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 textRotation="90" wrapText="1"/>
    </xf>
    <xf numFmtId="1" fontId="3" fillId="0" borderId="20" xfId="0" applyNumberFormat="1" applyFont="1" applyBorder="1" applyAlignment="1">
      <alignment horizontal="center" vertical="center"/>
    </xf>
    <xf numFmtId="1" fontId="3" fillId="22" borderId="21" xfId="0" applyNumberFormat="1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180" fontId="3" fillId="22" borderId="23" xfId="0" applyNumberFormat="1" applyFont="1" applyFill="1" applyBorder="1" applyAlignment="1">
      <alignment horizontal="center" vertical="center"/>
    </xf>
    <xf numFmtId="180" fontId="3" fillId="0" borderId="22" xfId="0" applyNumberFormat="1" applyFont="1" applyBorder="1" applyAlignment="1">
      <alignment horizontal="center" vertical="center"/>
    </xf>
    <xf numFmtId="180" fontId="3" fillId="0" borderId="55" xfId="0" applyNumberFormat="1" applyFont="1" applyBorder="1" applyAlignment="1">
      <alignment horizontal="center" vertical="center"/>
    </xf>
    <xf numFmtId="180" fontId="3" fillId="0" borderId="56" xfId="0" applyNumberFormat="1" applyFont="1" applyBorder="1" applyAlignment="1">
      <alignment horizontal="center" vertical="center"/>
    </xf>
    <xf numFmtId="180" fontId="3" fillId="22" borderId="22" xfId="0" applyNumberFormat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right" vertical="center" textRotation="90" wrapText="1"/>
    </xf>
    <xf numFmtId="0" fontId="3" fillId="0" borderId="6" xfId="0" applyFont="1" applyBorder="1" applyAlignment="1">
      <alignment textRotation="90"/>
    </xf>
    <xf numFmtId="0" fontId="3" fillId="19" borderId="53" xfId="0" applyFont="1" applyFill="1" applyBorder="1" applyAlignment="1">
      <alignment horizontal="center" vertical="center"/>
    </xf>
    <xf numFmtId="1" fontId="3" fillId="22" borderId="10" xfId="0" applyNumberFormat="1" applyFont="1" applyFill="1" applyBorder="1" applyAlignment="1">
      <alignment horizontal="center" vertical="center"/>
    </xf>
    <xf numFmtId="1" fontId="3" fillId="22" borderId="13" xfId="0" applyNumberFormat="1" applyFont="1" applyFill="1" applyBorder="1" applyAlignment="1">
      <alignment horizontal="center" vertical="center"/>
    </xf>
    <xf numFmtId="1" fontId="3" fillId="22" borderId="14" xfId="0" applyNumberFormat="1" applyFont="1" applyFill="1" applyBorder="1" applyAlignment="1">
      <alignment horizontal="center" vertical="center"/>
    </xf>
    <xf numFmtId="1" fontId="3" fillId="22" borderId="11" xfId="0" applyNumberFormat="1" applyFont="1" applyFill="1" applyBorder="1" applyAlignment="1">
      <alignment horizontal="center" vertical="center"/>
    </xf>
    <xf numFmtId="1" fontId="3" fillId="22" borderId="45" xfId="0" applyNumberFormat="1" applyFont="1" applyFill="1" applyBorder="1" applyAlignment="1">
      <alignment horizontal="center" vertical="center"/>
    </xf>
    <xf numFmtId="1" fontId="3" fillId="22" borderId="12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3" fillId="22" borderId="45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1" fontId="55" fillId="22" borderId="35" xfId="0" applyNumberFormat="1" applyFont="1" applyFill="1" applyBorder="1" applyAlignment="1">
      <alignment horizontal="center" vertical="center"/>
    </xf>
    <xf numFmtId="180" fontId="3" fillId="22" borderId="85" xfId="0" applyNumberFormat="1" applyFont="1" applyFill="1" applyBorder="1" applyAlignment="1">
      <alignment horizontal="center" vertical="center"/>
    </xf>
    <xf numFmtId="180" fontId="3" fillId="22" borderId="86" xfId="0" applyNumberFormat="1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1" fontId="55" fillId="22" borderId="86" xfId="0" applyNumberFormat="1" applyFont="1" applyFill="1" applyBorder="1" applyAlignment="1">
      <alignment horizontal="center" vertical="center"/>
    </xf>
    <xf numFmtId="180" fontId="3" fillId="22" borderId="13" xfId="0" applyNumberFormat="1" applyFont="1" applyFill="1" applyBorder="1" applyAlignment="1">
      <alignment horizontal="center" vertical="center"/>
    </xf>
    <xf numFmtId="180" fontId="3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/>
    <xf numFmtId="0" fontId="4" fillId="0" borderId="5" xfId="0" applyFont="1" applyBorder="1" applyAlignment="1"/>
    <xf numFmtId="1" fontId="4" fillId="22" borderId="4" xfId="0" applyNumberFormat="1" applyFont="1" applyFill="1" applyBorder="1" applyAlignment="1">
      <alignment horizontal="center"/>
    </xf>
    <xf numFmtId="0" fontId="50" fillId="0" borderId="37" xfId="0" applyFont="1" applyBorder="1" applyAlignment="1">
      <alignment horizontal="left" vertical="center"/>
    </xf>
    <xf numFmtId="0" fontId="4" fillId="0" borderId="37" xfId="0" applyFont="1" applyBorder="1" applyAlignment="1"/>
    <xf numFmtId="180" fontId="4" fillId="23" borderId="1" xfId="0" applyNumberFormat="1" applyFont="1" applyFill="1" applyBorder="1" applyAlignment="1"/>
    <xf numFmtId="0" fontId="4" fillId="23" borderId="4" xfId="0" applyFont="1" applyFill="1" applyBorder="1" applyAlignment="1"/>
    <xf numFmtId="0" fontId="4" fillId="0" borderId="4" xfId="0" applyFont="1" applyBorder="1" applyAlignment="1">
      <alignment horizontal="center"/>
    </xf>
    <xf numFmtId="180" fontId="4" fillId="22" borderId="1" xfId="0" applyNumberFormat="1" applyFont="1" applyFill="1" applyBorder="1" applyAlignment="1">
      <alignment horizontal="center"/>
    </xf>
    <xf numFmtId="0" fontId="4" fillId="22" borderId="25" xfId="0" applyFont="1" applyFill="1" applyBorder="1" applyAlignment="1">
      <alignment horizontal="center"/>
    </xf>
    <xf numFmtId="0" fontId="4" fillId="0" borderId="5" xfId="0" applyFont="1" applyBorder="1" applyAlignment="1">
      <alignment horizontal="right"/>
    </xf>
    <xf numFmtId="1" fontId="4" fillId="22" borderId="4" xfId="0" applyNumberFormat="1" applyFont="1" applyFill="1" applyBorder="1" applyAlignment="1">
      <alignment horizontal="left"/>
    </xf>
    <xf numFmtId="180" fontId="4" fillId="22" borderId="4" xfId="0" applyNumberFormat="1" applyFont="1" applyFill="1" applyBorder="1" applyAlignment="1"/>
    <xf numFmtId="0" fontId="56" fillId="0" borderId="0" xfId="0" applyFont="1" applyAlignment="1"/>
    <xf numFmtId="0" fontId="57" fillId="0" borderId="0" xfId="0" applyFont="1" applyAlignment="1"/>
    <xf numFmtId="0" fontId="57" fillId="0" borderId="0" xfId="0" applyFont="1" applyAlignment="1">
      <alignment vertical="top"/>
    </xf>
    <xf numFmtId="0" fontId="3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8" fontId="4" fillId="0" borderId="37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3" fillId="0" borderId="71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80" fontId="3" fillId="0" borderId="69" xfId="0" applyNumberFormat="1" applyFont="1" applyBorder="1" applyAlignment="1">
      <alignment horizontal="center" vertical="center"/>
    </xf>
    <xf numFmtId="1" fontId="3" fillId="0" borderId="88" xfId="0" applyNumberFormat="1" applyFont="1" applyBorder="1" applyAlignment="1">
      <alignment horizontal="center" vertical="center"/>
    </xf>
    <xf numFmtId="180" fontId="3" fillId="0" borderId="15" xfId="0" applyNumberFormat="1" applyFont="1" applyBorder="1" applyAlignment="1">
      <alignment horizontal="center" vertical="center"/>
    </xf>
    <xf numFmtId="180" fontId="3" fillId="0" borderId="16" xfId="0" applyNumberFormat="1" applyFont="1" applyBorder="1" applyAlignment="1">
      <alignment horizontal="center" vertical="center"/>
    </xf>
    <xf numFmtId="180" fontId="3" fillId="0" borderId="17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6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180" fontId="3" fillId="0" borderId="20" xfId="0" applyNumberFormat="1" applyFont="1" applyBorder="1" applyAlignment="1">
      <alignment horizontal="center" vertical="center"/>
    </xf>
    <xf numFmtId="180" fontId="3" fillId="0" borderId="2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56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80" fontId="3" fillId="0" borderId="85" xfId="0" applyNumberFormat="1" applyFont="1" applyBorder="1" applyAlignment="1">
      <alignment horizontal="center" vertical="center"/>
    </xf>
    <xf numFmtId="1" fontId="3" fillId="0" borderId="86" xfId="0" applyNumberFormat="1" applyFont="1" applyBorder="1" applyAlignment="1">
      <alignment horizontal="center" vertical="center"/>
    </xf>
    <xf numFmtId="180" fontId="3" fillId="0" borderId="10" xfId="0" applyNumberFormat="1" applyFont="1" applyBorder="1" applyAlignment="1">
      <alignment horizontal="center" vertical="center"/>
    </xf>
    <xf numFmtId="180" fontId="3" fillId="0" borderId="1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8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75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91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1" fontId="58" fillId="0" borderId="15" xfId="0" applyNumberFormat="1" applyFont="1" applyBorder="1" applyAlignment="1">
      <alignment horizontal="center" vertical="center"/>
    </xf>
    <xf numFmtId="1" fontId="58" fillId="0" borderId="16" xfId="0" applyNumberFormat="1" applyFont="1" applyBorder="1" applyAlignment="1">
      <alignment horizontal="center" vertical="center"/>
    </xf>
    <xf numFmtId="1" fontId="58" fillId="0" borderId="71" xfId="0" applyNumberFormat="1" applyFont="1" applyBorder="1" applyAlignment="1">
      <alignment horizontal="center" vertical="center"/>
    </xf>
    <xf numFmtId="1" fontId="58" fillId="0" borderId="88" xfId="0" applyNumberFormat="1" applyFont="1" applyBorder="1" applyAlignment="1">
      <alignment horizontal="center" vertical="center"/>
    </xf>
    <xf numFmtId="1" fontId="58" fillId="0" borderId="1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0" borderId="21" xfId="0" applyFont="1" applyBorder="1" applyAlignment="1">
      <alignment horizontal="center" vertical="center"/>
    </xf>
    <xf numFmtId="0" fontId="58" fillId="0" borderId="53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58" fillId="0" borderId="63" xfId="0" applyFont="1" applyBorder="1" applyAlignment="1">
      <alignment horizontal="center" vertical="center"/>
    </xf>
    <xf numFmtId="182" fontId="58" fillId="0" borderId="21" xfId="0" applyNumberFormat="1" applyFont="1" applyBorder="1" applyAlignment="1">
      <alignment horizontal="center" vertical="center"/>
    </xf>
    <xf numFmtId="182" fontId="58" fillId="0" borderId="53" xfId="0" applyNumberFormat="1" applyFont="1" applyBorder="1" applyAlignment="1">
      <alignment horizontal="center" vertical="center"/>
    </xf>
    <xf numFmtId="182" fontId="58" fillId="0" borderId="55" xfId="0" applyNumberFormat="1" applyFont="1" applyBorder="1" applyAlignment="1">
      <alignment horizontal="center" vertical="center"/>
    </xf>
    <xf numFmtId="182" fontId="58" fillId="0" borderId="23" xfId="0" applyNumberFormat="1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58" fillId="0" borderId="95" xfId="0" applyFont="1" applyBorder="1" applyAlignment="1">
      <alignment horizontal="center" vertical="center"/>
    </xf>
    <xf numFmtId="182" fontId="59" fillId="0" borderId="98" xfId="0" applyNumberFormat="1" applyFont="1" applyBorder="1" applyAlignment="1">
      <alignment horizontal="center" vertical="center"/>
    </xf>
    <xf numFmtId="182" fontId="59" fillId="0" borderId="77" xfId="0" applyNumberFormat="1" applyFont="1" applyBorder="1" applyAlignment="1">
      <alignment horizontal="center" vertical="center"/>
    </xf>
    <xf numFmtId="182" fontId="59" fillId="0" borderId="99" xfId="0" applyNumberFormat="1" applyFont="1" applyBorder="1" applyAlignment="1">
      <alignment horizontal="center" vertical="center"/>
    </xf>
    <xf numFmtId="182" fontId="59" fillId="0" borderId="100" xfId="0" applyNumberFormat="1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textRotation="90" wrapText="1"/>
    </xf>
    <xf numFmtId="0" fontId="14" fillId="0" borderId="0" xfId="0" applyFont="1" applyBorder="1" applyAlignment="1">
      <alignment horizontal="center" vertical="center" textRotation="90" wrapText="1"/>
    </xf>
    <xf numFmtId="0" fontId="14" fillId="0" borderId="26" xfId="0" applyFont="1" applyBorder="1" applyAlignment="1">
      <alignment horizontal="center" vertical="center" textRotation="90" wrapText="1"/>
    </xf>
    <xf numFmtId="0" fontId="58" fillId="0" borderId="19" xfId="0" applyFont="1" applyBorder="1" applyAlignment="1">
      <alignment horizontal="center" vertical="center"/>
    </xf>
    <xf numFmtId="1" fontId="49" fillId="0" borderId="16" xfId="0" applyNumberFormat="1" applyFont="1" applyBorder="1" applyAlignment="1">
      <alignment horizontal="center" vertical="center"/>
    </xf>
    <xf numFmtId="1" fontId="49" fillId="0" borderId="71" xfId="0" applyNumberFormat="1" applyFont="1" applyBorder="1" applyAlignment="1">
      <alignment horizontal="center" vertical="center"/>
    </xf>
    <xf numFmtId="1" fontId="49" fillId="0" borderId="88" xfId="0" applyNumberFormat="1" applyFont="1" applyBorder="1" applyAlignment="1">
      <alignment horizontal="center" vertical="center"/>
    </xf>
    <xf numFmtId="1" fontId="49" fillId="0" borderId="18" xfId="0" applyNumberFormat="1" applyFont="1" applyBorder="1" applyAlignment="1">
      <alignment horizontal="center" vertical="center"/>
    </xf>
    <xf numFmtId="2" fontId="60" fillId="0" borderId="16" xfId="0" applyNumberFormat="1" applyFont="1" applyBorder="1" applyAlignment="1">
      <alignment horizontal="center" vertical="center"/>
    </xf>
    <xf numFmtId="2" fontId="60" fillId="0" borderId="17" xfId="0" applyNumberFormat="1" applyFont="1" applyBorder="1" applyAlignment="1">
      <alignment horizontal="center" vertical="center"/>
    </xf>
    <xf numFmtId="0" fontId="58" fillId="0" borderId="24" xfId="0" applyFont="1" applyBorder="1" applyAlignment="1">
      <alignment horizontal="center" vertical="center"/>
    </xf>
    <xf numFmtId="1" fontId="49" fillId="0" borderId="21" xfId="0" applyNumberFormat="1" applyFont="1" applyBorder="1" applyAlignment="1">
      <alignment horizontal="center" vertical="center"/>
    </xf>
    <xf numFmtId="1" fontId="49" fillId="0" borderId="53" xfId="0" applyNumberFormat="1" applyFont="1" applyBorder="1" applyAlignment="1">
      <alignment horizontal="center" vertical="center"/>
    </xf>
    <xf numFmtId="1" fontId="49" fillId="0" borderId="55" xfId="0" applyNumberFormat="1" applyFont="1" applyBorder="1" applyAlignment="1">
      <alignment horizontal="center" vertical="center"/>
    </xf>
    <xf numFmtId="1" fontId="49" fillId="0" borderId="23" xfId="0" applyNumberFormat="1" applyFont="1" applyBorder="1" applyAlignment="1">
      <alignment horizontal="center" vertical="center"/>
    </xf>
    <xf numFmtId="2" fontId="60" fillId="0" borderId="21" xfId="0" applyNumberFormat="1" applyFont="1" applyBorder="1" applyAlignment="1">
      <alignment horizontal="center" vertical="center"/>
    </xf>
    <xf numFmtId="2" fontId="60" fillId="0" borderId="22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textRotation="90" wrapText="1"/>
    </xf>
    <xf numFmtId="0" fontId="14" fillId="0" borderId="37" xfId="0" applyFont="1" applyBorder="1" applyAlignment="1">
      <alignment horizontal="center" vertical="center" textRotation="90" wrapText="1"/>
    </xf>
    <xf numFmtId="0" fontId="14" fillId="0" borderId="35" xfId="0" applyFont="1" applyBorder="1" applyAlignment="1">
      <alignment horizontal="center" vertical="center" textRotation="90" wrapText="1"/>
    </xf>
    <xf numFmtId="0" fontId="58" fillId="0" borderId="14" xfId="0" applyFont="1" applyBorder="1" applyAlignment="1">
      <alignment horizontal="center" vertical="center"/>
    </xf>
    <xf numFmtId="1" fontId="49" fillId="0" borderId="11" xfId="0" applyNumberFormat="1" applyFont="1" applyBorder="1" applyAlignment="1">
      <alignment horizontal="center" vertical="center"/>
    </xf>
    <xf numFmtId="1" fontId="49" fillId="0" borderId="45" xfId="0" applyNumberFormat="1" applyFont="1" applyBorder="1" applyAlignment="1">
      <alignment horizontal="center" vertical="center"/>
    </xf>
    <xf numFmtId="1" fontId="49" fillId="0" borderId="86" xfId="0" applyNumberFormat="1" applyFont="1" applyBorder="1" applyAlignment="1">
      <alignment horizontal="center" vertical="center"/>
    </xf>
    <xf numFmtId="1" fontId="49" fillId="0" borderId="13" xfId="0" applyNumberFormat="1" applyFont="1" applyBorder="1" applyAlignment="1">
      <alignment horizontal="center" vertical="center"/>
    </xf>
    <xf numFmtId="2" fontId="60" fillId="0" borderId="11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horizontal="center" vertical="center"/>
    </xf>
    <xf numFmtId="2" fontId="36" fillId="0" borderId="33" xfId="0" applyNumberFormat="1" applyFont="1" applyBorder="1" applyAlignment="1" quotePrefix="1">
      <alignment horizontal="center" vertical="center"/>
    </xf>
    <xf numFmtId="1" fontId="36" fillId="0" borderId="26" xfId="0" applyNumberFormat="1" applyFont="1" applyBorder="1" applyAlignment="1" quotePrefix="1">
      <alignment horizontal="center" vertical="center"/>
    </xf>
    <xf numFmtId="2" fontId="36" fillId="0" borderId="9" xfId="0" applyNumberFormat="1" applyFont="1" applyBorder="1" applyAlignment="1" quotePrefix="1">
      <alignment horizontal="center" vertical="center"/>
    </xf>
    <xf numFmtId="180" fontId="36" fillId="2" borderId="9" xfId="0" applyNumberFormat="1" applyFont="1" applyFill="1" applyBorder="1" applyAlignment="1" quotePrefix="1">
      <alignment horizontal="center" vertical="center"/>
    </xf>
    <xf numFmtId="180" fontId="36" fillId="0" borderId="9" xfId="0" applyNumberFormat="1" applyFont="1" applyBorder="1" applyAlignment="1" quotePrefix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</font>
      <fill>
        <patternFill patternType="solid">
          <bgColor rgb="FFD7D7D7"/>
        </patternFill>
      </fill>
    </dxf>
    <dxf/>
  </dxfs>
  <tableStyles count="1" defaultTableStyle="TableStyleMedium9" defaultPivotStyle="PivotStyleLight16">
    <tableStyle name="MySqlDefault" pivot="0" table="0" count="2" xr9:uid="{0194F802-9E13-4ACD-AB52-9463BFBB513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7180769274"/>
          <c:y val="0.0435962769925925"/>
          <c:w val="0.822429211132975"/>
          <c:h val="0.7359945854810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"Усилия прокатки"</c:f>
              <c:strCache>
                <c:ptCount val="1"/>
                <c:pt idx="0">
                  <c:v>Усилия прокатки</c:v>
                </c:pt>
              </c:strCache>
            </c:strRef>
          </c:tx>
          <c:dLbls>
            <c:delete val="1"/>
          </c:dLbls>
          <c:xVal>
            <c:numRef>
              <c:f>Осн.таблица!$D$42:$I$42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Осн.таблица!$D$36:$I$36</c:f>
              <c:numCache>
                <c:formatCode>0.00</c:formatCode>
                <c:ptCount val="6"/>
                <c:pt idx="0">
                  <c:v>19.8701235775453</c:v>
                </c:pt>
                <c:pt idx="1">
                  <c:v>37.7796221844856</c:v>
                </c:pt>
                <c:pt idx="2">
                  <c:v>15.3525022148797</c:v>
                </c:pt>
                <c:pt idx="3">
                  <c:v>28.4914818703899</c:v>
                </c:pt>
                <c:pt idx="4">
                  <c:v>11.8393660405907</c:v>
                </c:pt>
                <c:pt idx="5">
                  <c:v>17.0856598197999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213824"/>
        <c:axId val="253433080"/>
      </c:scatterChart>
      <c:valAx>
        <c:axId val="254213824"/>
        <c:scaling>
          <c:orientation val="minMax"/>
          <c:max val="6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Номер клети</a:t>
                </a:r>
                <a:endParaRPr lang="ru-RU" sz="120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3433080"/>
        <c:crosses val="autoZero"/>
        <c:crossBetween val="midCat"/>
        <c:majorUnit val="1"/>
      </c:valAx>
      <c:valAx>
        <c:axId val="25343308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 i="0" baseline="0"/>
                  <a:t>Усилия прокатки, т</a:t>
                </a:r>
                <a:endParaRPr lang="ru-RU" sz="1400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4213824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4cc80a9a-f5eb-4422-bedf-74f8318618d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530696151995"/>
          <c:y val="0.143219618740429"/>
          <c:w val="0.794527870061948"/>
          <c:h val="0.7016648924444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"Момент прокатки"</c:f>
              <c:strCache>
                <c:ptCount val="1"/>
                <c:pt idx="0">
                  <c:v>Момент прокатки</c:v>
                </c:pt>
              </c:strCache>
            </c:strRef>
          </c:tx>
          <c:dLbls>
            <c:delete val="1"/>
          </c:dLbls>
          <c:xVal>
            <c:numRef>
              <c:f>Осн.таблица!$D$42:$I$42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Осн.таблица!$D$37:$I$37</c:f>
              <c:numCache>
                <c:formatCode>0.00</c:formatCode>
                <c:ptCount val="6"/>
                <c:pt idx="0">
                  <c:v>46.7455826876363</c:v>
                </c:pt>
                <c:pt idx="1">
                  <c:v>945.346480853059</c:v>
                </c:pt>
                <c:pt idx="2">
                  <c:v>956.070613273855</c:v>
                </c:pt>
                <c:pt idx="3">
                  <c:v>1003.98299571417</c:v>
                </c:pt>
                <c:pt idx="4">
                  <c:v>1013.52612882556</c:v>
                </c:pt>
                <c:pt idx="5">
                  <c:v>1020.82720769061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381480"/>
        <c:axId val="323388376"/>
      </c:scatterChart>
      <c:valAx>
        <c:axId val="323381480"/>
        <c:scaling>
          <c:orientation val="minMax"/>
          <c:max val="6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клети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3388376"/>
        <c:crosses val="autoZero"/>
        <c:crossBetween val="midCat"/>
      </c:valAx>
      <c:valAx>
        <c:axId val="32338837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Момент прокатки, кг*м</a:t>
                </a:r>
                <a:endParaRPr lang="ru-RU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338148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4dcdb5-6335-448b-8407-49e5a11e87d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19799</xdr:colOff>
      <xdr:row>0</xdr:row>
      <xdr:rowOff>50787</xdr:rowOff>
    </xdr:from>
    <xdr:to>
      <xdr:col>25</xdr:col>
      <xdr:colOff>66546</xdr:colOff>
      <xdr:row>18</xdr:row>
      <xdr:rowOff>0</xdr:rowOff>
    </xdr:to>
    <xdr:graphicFrame>
      <xdr:nvGraphicFramePr>
        <xdr:cNvPr id="2" name="图表 1"/>
        <xdr:cNvGraphicFramePr/>
      </xdr:nvGraphicFramePr>
      <xdr:xfrm>
        <a:off x="5945505" y="50165"/>
        <a:ext cx="7885430" cy="3512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17049</xdr:colOff>
      <xdr:row>18</xdr:row>
      <xdr:rowOff>25375</xdr:rowOff>
    </xdr:from>
    <xdr:to>
      <xdr:col>25</xdr:col>
      <xdr:colOff>122094</xdr:colOff>
      <xdr:row>35</xdr:row>
      <xdr:rowOff>126503</xdr:rowOff>
    </xdr:to>
    <xdr:graphicFrame>
      <xdr:nvGraphicFramePr>
        <xdr:cNvPr id="3" name="图表 2"/>
        <xdr:cNvGraphicFramePr/>
      </xdr:nvGraphicFramePr>
      <xdr:xfrm>
        <a:off x="5942330" y="3587115"/>
        <a:ext cx="7944485" cy="3482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3"/>
  <sheetViews>
    <sheetView workbookViewId="0">
      <selection activeCell="E1" sqref="E1:O1"/>
    </sheetView>
  </sheetViews>
  <sheetFormatPr defaultColWidth="9" defaultRowHeight="12.75"/>
  <cols>
    <col min="1" max="1" width="6.71111111111111" customWidth="1"/>
    <col min="2" max="2" width="4.71111111111111" customWidth="1"/>
    <col min="3" max="3" width="6.28888888888889" customWidth="1"/>
    <col min="4" max="4" width="8" style="53" customWidth="1"/>
    <col min="5" max="5" width="9.71111111111111" customWidth="1"/>
    <col min="6" max="6" width="8.71111111111111" customWidth="1"/>
    <col min="7" max="7" width="8.14444444444444" customWidth="1"/>
    <col min="8" max="8" width="6.42222222222222" customWidth="1"/>
    <col min="9" max="9" width="7.42222222222222" customWidth="1"/>
    <col min="10" max="10" width="6" customWidth="1"/>
    <col min="11" max="11" width="6.71111111111111" customWidth="1"/>
    <col min="12" max="12" width="5.14444444444444" customWidth="1"/>
    <col min="13" max="13" width="4.14444444444444" customWidth="1"/>
    <col min="14" max="14" width="7.14444444444444" customWidth="1"/>
    <col min="15" max="15" width="10.5666666666667" customWidth="1"/>
    <col min="16" max="16" width="8.56666666666667" customWidth="1"/>
    <col min="17" max="17" width="7.56666666666667" customWidth="1"/>
    <col min="18" max="18" width="5.42222222222222" customWidth="1"/>
    <col min="19" max="19" width="6" customWidth="1"/>
  </cols>
  <sheetData>
    <row r="1" ht="15.75" spans="1:18">
      <c r="I1" s="749" t="s">
        <v>0</v>
      </c>
    </row>
    <row r="2" ht="15.75" spans="1:18">
      <c r="I2" s="749"/>
    </row>
    <row r="3" spans="1:18">
      <c r="G3" s="898"/>
      <c r="H3" s="752"/>
      <c r="I3" s="752"/>
      <c r="J3" s="753"/>
      <c r="K3" s="754" t="s">
        <v>1</v>
      </c>
      <c r="L3" s="899">
        <f>Осн.таблица!A2</f>
        <v>250</v>
      </c>
      <c r="M3" s="753" t="s">
        <v>2</v>
      </c>
    </row>
    <row r="4" spans="1:18">
      <c r="G4" s="899"/>
      <c r="H4" s="754" t="s">
        <v>3</v>
      </c>
      <c r="I4" s="768">
        <f>Осн.таблица!C3</f>
        <v>245.770546802272</v>
      </c>
      <c r="J4" s="753" t="s">
        <v>4</v>
      </c>
      <c r="K4" s="752"/>
      <c r="L4" s="899">
        <f>Осн.таблица!A19</f>
        <v>8</v>
      </c>
      <c r="M4" s="753" t="s">
        <v>2</v>
      </c>
      <c r="N4" s="753"/>
      <c r="O4" s="752"/>
      <c r="P4" s="759"/>
      <c r="Q4" s="753"/>
    </row>
    <row r="5" spans="1:18">
      <c r="I5" s="53"/>
      <c r="L5" s="32"/>
      <c r="M5" s="44"/>
      <c r="N5" s="32"/>
      <c r="P5" s="773"/>
      <c r="Q5" s="32"/>
    </row>
    <row r="6" spans="1:18">
      <c r="D6" s="900" t="s">
        <v>5</v>
      </c>
      <c r="M6" s="900" t="s">
        <v>6</v>
      </c>
    </row>
    <row r="7" ht="15" customHeight="1" spans="1:18">
      <c r="A7" s="901">
        <f ca="1">NOW()</f>
        <v>46288.7444675926</v>
      </c>
      <c r="B7" s="901"/>
      <c r="C7" s="901"/>
      <c r="D7" s="901"/>
      <c r="M7" s="53"/>
    </row>
    <row r="8" ht="42" customHeight="1" spans="1:18">
      <c r="A8" s="796" t="s">
        <v>7</v>
      </c>
      <c r="B8" s="902" t="s">
        <v>8</v>
      </c>
      <c r="C8" s="903"/>
      <c r="D8" s="904"/>
      <c r="E8" s="905" t="s">
        <v>9</v>
      </c>
      <c r="F8" s="906"/>
      <c r="G8" s="796" t="s">
        <v>10</v>
      </c>
      <c r="H8" s="902" t="s">
        <v>11</v>
      </c>
      <c r="I8" s="904"/>
      <c r="J8" s="796" t="s">
        <v>12</v>
      </c>
      <c r="K8" s="907"/>
      <c r="L8" s="907"/>
      <c r="M8" s="908" t="s">
        <v>13</v>
      </c>
      <c r="N8" s="907" t="s">
        <v>14</v>
      </c>
      <c r="O8" s="55" t="s">
        <v>15</v>
      </c>
      <c r="P8" s="905" t="s">
        <v>16</v>
      </c>
      <c r="Q8" s="906"/>
      <c r="R8" s="55" t="s">
        <v>17</v>
      </c>
    </row>
    <row r="9" ht="42" customHeight="1" spans="1:18">
      <c r="A9" s="909" t="str">
        <f>Осн.таблица!D2</f>
        <v>Кл.1</v>
      </c>
      <c r="B9" s="910">
        <f>'Карта настройки'!H17</f>
        <v>1</v>
      </c>
      <c r="C9" s="911">
        <f>Осн.таблица!D10</f>
        <v>400</v>
      </c>
      <c r="D9" s="912">
        <f>Осн.таблица!D8</f>
        <v>529</v>
      </c>
      <c r="E9" s="913">
        <f>Осн.таблица!D5</f>
        <v>240.770546802272</v>
      </c>
      <c r="F9" s="914">
        <f>Осн.таблица!D3</f>
        <v>5</v>
      </c>
      <c r="G9" s="915">
        <f>Осн.таблица!D32</f>
        <v>41.1147265988639</v>
      </c>
      <c r="H9" s="916">
        <f>Осн.таблица!D31</f>
        <v>99.8852734011361</v>
      </c>
      <c r="I9" s="917"/>
      <c r="J9" s="909" t="str">
        <f>'Карта настройки'!Q17</f>
        <v>УПС.09.УВ2И-105</v>
      </c>
      <c r="K9" s="918"/>
      <c r="L9" s="918"/>
      <c r="M9" s="919">
        <f>Осн.таблица!D18</f>
        <v>410</v>
      </c>
      <c r="N9" s="918">
        <f>Осн.таблица!A13</f>
        <v>105</v>
      </c>
      <c r="O9" s="919">
        <f>Осн.таблица!D33</f>
        <v>27.5</v>
      </c>
      <c r="P9" s="920">
        <f>Осн.таблица!D15</f>
        <v>250.770546802272</v>
      </c>
      <c r="Q9" s="914">
        <f>Осн.таблица!D14</f>
        <v>-5</v>
      </c>
      <c r="R9" s="919">
        <f>'Карта настройки'!AA17</f>
        <v>114.614726598864</v>
      </c>
    </row>
    <row r="10" ht="42" customHeight="1" spans="1:18">
      <c r="A10" s="921" t="str">
        <f>Осн.таблица!E2</f>
        <v>Кл.2</v>
      </c>
      <c r="B10" s="922">
        <f>'Карта настройки'!H18</f>
        <v>3</v>
      </c>
      <c r="C10" s="923">
        <f>Осн.таблица!E10</f>
        <v>400</v>
      </c>
      <c r="D10" s="846">
        <f>Осн.таблица!E8</f>
        <v>548</v>
      </c>
      <c r="E10" s="857">
        <f>Осн.таблица!E5</f>
        <v>227.770546802272</v>
      </c>
      <c r="F10" s="924">
        <f>Осн.таблица!E3</f>
        <v>13</v>
      </c>
      <c r="G10" s="925">
        <f>Осн.таблица!E32</f>
        <v>38.1147265988639</v>
      </c>
      <c r="H10" s="926">
        <f>Осн.таблица!E31</f>
        <v>102.885273401136</v>
      </c>
      <c r="I10" s="855"/>
      <c r="J10" s="921" t="str">
        <f>'Карта настройки'!Q18</f>
        <v>УПС.09.УВ3И-115</v>
      </c>
      <c r="K10" s="927"/>
      <c r="L10" s="927"/>
      <c r="M10" s="928">
        <f>Осн.таблица!E18</f>
        <v>410</v>
      </c>
      <c r="N10" s="927">
        <f>Осн.таблица!A14</f>
        <v>115</v>
      </c>
      <c r="O10" s="928">
        <f>Осн.таблица!E33</f>
        <v>22.5</v>
      </c>
      <c r="P10" s="929">
        <f>Осн.таблица!E15</f>
        <v>243.770546802272</v>
      </c>
      <c r="Q10" s="924">
        <f>Осн.таблица!E14</f>
        <v>7</v>
      </c>
      <c r="R10" s="928">
        <f>'Карта настройки'!AA18</f>
        <v>118.114726598864</v>
      </c>
    </row>
    <row r="11" ht="42" customHeight="1" spans="1:18">
      <c r="A11" s="930" t="str">
        <f>Осн.таблица!F2</f>
        <v>Кл.3</v>
      </c>
      <c r="B11" s="922">
        <f>'Карта настройки'!H19</f>
        <v>4</v>
      </c>
      <c r="C11" s="923">
        <f>Осн.таблица!F10</f>
        <v>400</v>
      </c>
      <c r="D11" s="846">
        <f>Осн.таблица!F8</f>
        <v>565</v>
      </c>
      <c r="E11" s="857">
        <f>Осн.таблица!F5</f>
        <v>225.770546802272</v>
      </c>
      <c r="F11" s="924">
        <f>Осн.таблица!F3</f>
        <v>2</v>
      </c>
      <c r="G11" s="925">
        <f>Осн.таблица!F32</f>
        <v>30.6147265988639</v>
      </c>
      <c r="H11" s="926">
        <f>Осн.таблица!F31</f>
        <v>110.385273401136</v>
      </c>
      <c r="I11" s="855"/>
      <c r="J11" s="921" t="str">
        <f>'Карта настройки'!Q19</f>
        <v>УПС.09.УВ3И-125</v>
      </c>
      <c r="K11" s="927"/>
      <c r="L11" s="927"/>
      <c r="M11" s="928">
        <f>Осн.таблица!F18</f>
        <v>410</v>
      </c>
      <c r="N11" s="927">
        <f>Осн.таблица!A15</f>
        <v>125</v>
      </c>
      <c r="O11" s="928">
        <f>Осн.таблица!F33</f>
        <v>17.5</v>
      </c>
      <c r="P11" s="929">
        <f>Осн.таблица!F15</f>
        <v>234.770546802272</v>
      </c>
      <c r="Q11" s="924">
        <f>Осн.таблица!F14</f>
        <v>9</v>
      </c>
      <c r="R11" s="928">
        <f>'Карта настройки'!AA19</f>
        <v>122.614726598864</v>
      </c>
    </row>
    <row r="12" ht="42" customHeight="1" spans="1:18">
      <c r="A12" s="921" t="str">
        <f>Осн.таблица!G2</f>
        <v>Кл.4</v>
      </c>
      <c r="B12" s="922">
        <f>'Карта настройки'!H20</f>
        <v>4</v>
      </c>
      <c r="C12" s="923">
        <f>Осн.таблица!G10</f>
        <v>400</v>
      </c>
      <c r="D12" s="846">
        <f>Осн.таблица!G8</f>
        <v>577</v>
      </c>
      <c r="E12" s="857">
        <f>Осн.таблица!G5</f>
        <v>219.770546802272</v>
      </c>
      <c r="F12" s="924">
        <f>Осн.таблица!G3</f>
        <v>6</v>
      </c>
      <c r="G12" s="925">
        <f>Осн.таблица!G32</f>
        <v>27.6147265988639</v>
      </c>
      <c r="H12" s="926">
        <f>Осн.таблица!G31</f>
        <v>113.385273401136</v>
      </c>
      <c r="I12" s="855"/>
      <c r="J12" s="930" t="str">
        <f>'Карта настройки'!Q20</f>
        <v>УПС.09.УВ4-125</v>
      </c>
      <c r="K12" s="931"/>
      <c r="L12" s="931"/>
      <c r="M12" s="928">
        <f>Осн.таблица!G18</f>
        <v>410</v>
      </c>
      <c r="N12" s="927">
        <f>Осн.таблица!A16</f>
        <v>125</v>
      </c>
      <c r="O12" s="928">
        <f>Осн.таблица!G33</f>
        <v>17.5</v>
      </c>
      <c r="P12" s="929">
        <f>Осн.таблица!G15</f>
        <v>226.770546802272</v>
      </c>
      <c r="Q12" s="924">
        <f>Осн.таблица!G14</f>
        <v>8</v>
      </c>
      <c r="R12" s="928">
        <f>'Карта настройки'!AA20</f>
        <v>126.614726598864</v>
      </c>
    </row>
    <row r="13" ht="42" customHeight="1" spans="1:18">
      <c r="A13" s="921" t="str">
        <f>Осн.таблица!H2</f>
        <v>Кл.5</v>
      </c>
      <c r="B13" s="922">
        <f>'Карта настройки'!H21</f>
        <v>5</v>
      </c>
      <c r="C13" s="923">
        <f>Осн.таблица!H10</f>
        <v>400</v>
      </c>
      <c r="D13" s="846">
        <f>Осн.таблица!H8</f>
        <v>587</v>
      </c>
      <c r="E13" s="857">
        <f>Осн.таблица!H5</f>
        <v>218.770546802272</v>
      </c>
      <c r="F13" s="924">
        <f>Осн.таблица!H3</f>
        <v>1</v>
      </c>
      <c r="G13" s="925">
        <f>Осн.таблица!H32</f>
        <v>23.1147265988639</v>
      </c>
      <c r="H13" s="926">
        <f>Осн.таблица!H31</f>
        <v>117.885273401136</v>
      </c>
      <c r="I13" s="855"/>
      <c r="J13" s="921" t="str">
        <f>'Карта настройки'!Q21</f>
        <v>УПС.09.УВ4И-135</v>
      </c>
      <c r="K13" s="927"/>
      <c r="L13" s="927"/>
      <c r="M13" s="928">
        <f>Осн.таблица!H18</f>
        <v>410</v>
      </c>
      <c r="N13" s="927">
        <f>Осн.таблица!A17</f>
        <v>135</v>
      </c>
      <c r="O13" s="928">
        <f>Осн.таблица!H33</f>
        <v>12.5</v>
      </c>
      <c r="P13" s="929">
        <f>Осн.таблица!H15</f>
        <v>219.770546802272</v>
      </c>
      <c r="Q13" s="924">
        <f>Осн.таблица!H14</f>
        <v>7</v>
      </c>
      <c r="R13" s="928">
        <f>'Карта настройки'!AA21</f>
        <v>130.114726598864</v>
      </c>
    </row>
    <row r="14" ht="42" customHeight="1" spans="1:18">
      <c r="A14" s="932" t="str">
        <f>Осн.таблица!I2</f>
        <v>Кл.6</v>
      </c>
      <c r="B14" s="933">
        <f>'Карта настройки'!H22</f>
        <v>5</v>
      </c>
      <c r="C14" s="934">
        <f>Осн.таблица!I10</f>
        <v>400</v>
      </c>
      <c r="D14" s="874">
        <f>Осн.таблица!I8</f>
        <v>589</v>
      </c>
      <c r="E14" s="935">
        <f>Осн.таблица!I5</f>
        <v>216.770546802272</v>
      </c>
      <c r="F14" s="936">
        <f>Осн.таблица!I3</f>
        <v>2</v>
      </c>
      <c r="G14" s="937">
        <f>Осн.таблица!I32</f>
        <v>23.1147265988639</v>
      </c>
      <c r="H14" s="938">
        <f>Осн.таблица!I31</f>
        <v>117.885273401136</v>
      </c>
      <c r="I14" s="881"/>
      <c r="J14" s="939" t="str">
        <f>'Карта настройки'!Q22</f>
        <v>Валок наборной</v>
      </c>
      <c r="K14" s="940"/>
      <c r="L14" s="940"/>
      <c r="M14" s="941">
        <f>Осн.таблица!I18</f>
        <v>455</v>
      </c>
      <c r="N14" s="940">
        <f>Осн.таблица!A18</f>
        <v>145</v>
      </c>
      <c r="O14" s="941">
        <f>Осн.таблица!I33</f>
        <v>7.5</v>
      </c>
      <c r="P14" s="942">
        <f>Осн.таблица!I15</f>
        <v>216.770546802272</v>
      </c>
      <c r="Q14" s="936">
        <f>Осн.таблица!I14</f>
        <v>3</v>
      </c>
      <c r="R14" s="941">
        <f>'Карта настройки'!AA22</f>
        <v>109.114726598864</v>
      </c>
    </row>
    <row r="17" ht="14.25" spans="1:19">
      <c r="D17" s="943" t="s">
        <v>18</v>
      </c>
    </row>
    <row r="18" ht="13.5"/>
    <row r="19" ht="32.25" customHeight="1" spans="1:19">
      <c r="A19" s="944" t="s">
        <v>7</v>
      </c>
      <c r="B19" s="945"/>
      <c r="C19" s="946"/>
      <c r="D19" s="947">
        <v>1</v>
      </c>
      <c r="E19" s="948">
        <v>2</v>
      </c>
      <c r="F19" s="947">
        <v>3</v>
      </c>
      <c r="G19" s="948">
        <v>4</v>
      </c>
      <c r="H19" s="947">
        <v>5</v>
      </c>
      <c r="I19" s="949">
        <v>6</v>
      </c>
      <c r="J19" s="950"/>
      <c r="K19" s="951"/>
    </row>
    <row r="20" ht="20.25" customHeight="1" spans="1:19">
      <c r="A20" s="909" t="s">
        <v>19</v>
      </c>
      <c r="B20" s="918"/>
      <c r="C20" s="952"/>
      <c r="D20" s="953">
        <f>'Карта настройки'!G17</f>
        <v>400</v>
      </c>
      <c r="E20" s="954">
        <f>'Карта настройки'!G18</f>
        <v>400</v>
      </c>
      <c r="F20" s="955">
        <f>'Карта настройки'!G19</f>
        <v>400</v>
      </c>
      <c r="G20" s="955">
        <f>'Карта настройки'!G20</f>
        <v>400</v>
      </c>
      <c r="H20" s="956">
        <f>'Карта настройки'!G21</f>
        <v>400</v>
      </c>
      <c r="I20" s="957">
        <v>300</v>
      </c>
      <c r="J20" s="958" t="s">
        <v>20</v>
      </c>
      <c r="K20" s="959"/>
    </row>
    <row r="21" ht="20.25" customHeight="1" spans="1:19">
      <c r="A21" s="921" t="s">
        <v>21</v>
      </c>
      <c r="B21" s="927"/>
      <c r="C21" s="960"/>
      <c r="D21" s="961">
        <f>'Карта настройки'!I17</f>
        <v>529</v>
      </c>
      <c r="E21" s="962">
        <f>'Карта настройки'!I18</f>
        <v>548</v>
      </c>
      <c r="F21" s="963">
        <f>'Карта настройки'!I19</f>
        <v>565</v>
      </c>
      <c r="G21" s="963">
        <f>'Карта настройки'!I20</f>
        <v>577</v>
      </c>
      <c r="H21" s="964">
        <f>'Карта настройки'!I21</f>
        <v>587</v>
      </c>
      <c r="I21" s="965">
        <f>'Карта настройки'!I22</f>
        <v>589</v>
      </c>
      <c r="J21" s="966"/>
      <c r="K21" s="967"/>
      <c r="L21" s="895"/>
      <c r="M21" s="895"/>
      <c r="N21" s="895"/>
      <c r="O21" s="895"/>
      <c r="P21" s="895"/>
      <c r="Q21" s="895"/>
      <c r="R21" s="895"/>
      <c r="S21" s="895"/>
    </row>
    <row r="22" ht="15.75" spans="1:19">
      <c r="A22" s="968" t="s">
        <v>22</v>
      </c>
      <c r="B22" s="969"/>
      <c r="C22" s="970"/>
      <c r="D22" s="971">
        <v>1</v>
      </c>
      <c r="E22" s="972">
        <f>1.01*($D$21/E21)</f>
        <v>0.974981751824817</v>
      </c>
      <c r="F22" s="973">
        <f t="shared" ref="F22:I22" si="0">1.01*($D$21/F21)</f>
        <v>0.945646017699115</v>
      </c>
      <c r="G22" s="973">
        <f>1.01*(0.85*$D$21/G21)</f>
        <v>0.787082322357019</v>
      </c>
      <c r="H22" s="974">
        <f t="shared" si="0"/>
        <v>0.910204429301533</v>
      </c>
      <c r="I22" s="975">
        <f t="shared" si="0"/>
        <v>0.907113752122241</v>
      </c>
      <c r="J22" s="966"/>
      <c r="K22" s="967"/>
      <c r="L22" s="895"/>
      <c r="M22" s="895"/>
      <c r="N22" s="895"/>
      <c r="O22" s="895"/>
      <c r="P22" s="895"/>
      <c r="Q22" s="895"/>
      <c r="R22" s="895"/>
      <c r="S22" s="895"/>
    </row>
    <row r="23" ht="16.5" spans="1:19">
      <c r="A23" s="976"/>
      <c r="B23" s="977"/>
      <c r="C23" s="978"/>
      <c r="D23" s="979"/>
      <c r="E23" s="980">
        <f>1.005*($D$21/E21)*(1+(1.015-1)*('Карта настройки'!F18/'Карта настройки'!$F$23))</f>
        <v>0.974849408405934</v>
      </c>
      <c r="F23" s="981">
        <f>1.005*($D$21/F21)*(1+(1.015-1)*('Карта настройки'!F19/'Карта настройки'!$F$23))</f>
        <v>0.943468781758493</v>
      </c>
      <c r="G23" s="981">
        <f>1.005*(0.85*$D$21/G21)*(1+(1.015-1)*('Карта настройки'!F20/'Карта настройки'!$F$23))</f>
        <v>0.785838601568178</v>
      </c>
      <c r="H23" s="982">
        <f>1.005*($D$21/H21)*(1+(1.015-1)*('Карта настройки'!F21/'Карта настройки'!$F$23))</f>
        <v>0.907451431554652</v>
      </c>
      <c r="I23" s="983">
        <f>1.005*($D$21/I21)*(1+(1.015-1)*('Карта настройки'!F22/'Карта настройки'!$F$23))</f>
        <v>0.903496596199135</v>
      </c>
      <c r="J23" s="984"/>
      <c r="K23" s="985"/>
      <c r="L23" s="895"/>
      <c r="M23" s="895"/>
      <c r="N23" s="895"/>
      <c r="O23" s="895"/>
      <c r="P23" s="895"/>
      <c r="Q23" s="750"/>
      <c r="R23" s="895"/>
    </row>
    <row r="24" ht="20.1" customHeight="1" spans="1:19">
      <c r="A24" s="986" t="s">
        <v>23</v>
      </c>
      <c r="B24" s="987"/>
      <c r="C24" s="988"/>
      <c r="D24" s="989">
        <v>300</v>
      </c>
      <c r="E24" s="990">
        <f>$D$24*E23</f>
        <v>292.45482252178</v>
      </c>
      <c r="F24" s="991">
        <f t="shared" ref="F24:I24" si="1">$D$24*F23</f>
        <v>283.040634527548</v>
      </c>
      <c r="G24" s="991">
        <f t="shared" si="1"/>
        <v>235.751580470453</v>
      </c>
      <c r="H24" s="992">
        <f t="shared" si="1"/>
        <v>272.235429466396</v>
      </c>
      <c r="I24" s="993">
        <f t="shared" si="1"/>
        <v>271.04897885974</v>
      </c>
      <c r="J24" s="994">
        <f>(3.1415*($I$21/1000)*I24)/(6.17*50)</f>
        <v>1.62571707038819</v>
      </c>
      <c r="K24" s="995">
        <f>(3.1415*($I$21/1000)*I24)/(3.4*50)</f>
        <v>2.95019833067505</v>
      </c>
      <c r="L24" s="895"/>
      <c r="M24" s="895"/>
      <c r="N24" s="895"/>
      <c r="O24" s="895"/>
      <c r="P24" s="895"/>
      <c r="Q24" s="895"/>
      <c r="R24" s="895"/>
      <c r="S24" s="895"/>
    </row>
    <row r="25" ht="20.1" customHeight="1" spans="1:19">
      <c r="A25" s="986"/>
      <c r="B25" s="987"/>
      <c r="C25" s="988"/>
      <c r="D25" s="996">
        <v>600</v>
      </c>
      <c r="E25" s="997">
        <f>$D$25*E23</f>
        <v>584.90964504356</v>
      </c>
      <c r="F25" s="998">
        <f t="shared" ref="F25:I25" si="2">$D$25*F23</f>
        <v>566.081269055096</v>
      </c>
      <c r="G25" s="998">
        <f t="shared" si="2"/>
        <v>471.503160940907</v>
      </c>
      <c r="H25" s="999">
        <f t="shared" si="2"/>
        <v>544.470858932791</v>
      </c>
      <c r="I25" s="1000">
        <f t="shared" si="2"/>
        <v>542.097957719481</v>
      </c>
      <c r="J25" s="1001">
        <f t="shared" ref="J25:J33" si="3">(3.1415*($I$21/1000)*I25)/(6.17*50)</f>
        <v>3.25143414077639</v>
      </c>
      <c r="K25" s="1002">
        <f t="shared" ref="K25:K33" si="4">(3.1415*($I$21/1000)*I25)/(3.4*50)</f>
        <v>5.90039666135009</v>
      </c>
      <c r="L25" s="895"/>
      <c r="M25" s="895"/>
      <c r="N25" s="895"/>
      <c r="O25" s="895"/>
      <c r="P25" s="895"/>
      <c r="Q25" s="895"/>
      <c r="R25" s="895"/>
      <c r="S25" s="895"/>
    </row>
    <row r="26" ht="20.1" customHeight="1" spans="1:19">
      <c r="A26" s="986"/>
      <c r="B26" s="987"/>
      <c r="C26" s="988"/>
      <c r="D26" s="996">
        <v>700</v>
      </c>
      <c r="E26" s="997">
        <f>$D$26*E23</f>
        <v>682.394585884154</v>
      </c>
      <c r="F26" s="998">
        <f t="shared" ref="F26:I26" si="5">$D$26*F23</f>
        <v>660.428147230945</v>
      </c>
      <c r="G26" s="998">
        <f t="shared" si="5"/>
        <v>550.087021097724</v>
      </c>
      <c r="H26" s="999">
        <f t="shared" si="5"/>
        <v>635.216002088256</v>
      </c>
      <c r="I26" s="1000">
        <f t="shared" si="5"/>
        <v>632.447617339394</v>
      </c>
      <c r="J26" s="1001">
        <f t="shared" si="3"/>
        <v>3.79333983090579</v>
      </c>
      <c r="K26" s="1002">
        <f t="shared" si="4"/>
        <v>6.88379610490844</v>
      </c>
      <c r="L26" s="895"/>
      <c r="M26" s="895"/>
      <c r="N26" s="895"/>
      <c r="O26" s="895"/>
      <c r="P26" s="895"/>
      <c r="Q26" s="750"/>
      <c r="R26" s="895"/>
    </row>
    <row r="27" ht="20.1" customHeight="1" spans="1:19">
      <c r="A27" s="986"/>
      <c r="B27" s="987"/>
      <c r="C27" s="988"/>
      <c r="D27" s="996">
        <v>800</v>
      </c>
      <c r="E27" s="997">
        <f>$D$27*E23</f>
        <v>779.879526724747</v>
      </c>
      <c r="F27" s="998">
        <f t="shared" ref="F27:I27" si="6">$D$27*F23</f>
        <v>754.775025406794</v>
      </c>
      <c r="G27" s="998">
        <f t="shared" si="6"/>
        <v>628.670881254542</v>
      </c>
      <c r="H27" s="999">
        <f t="shared" si="6"/>
        <v>725.961145243721</v>
      </c>
      <c r="I27" s="1000">
        <f t="shared" si="6"/>
        <v>722.797276959308</v>
      </c>
      <c r="J27" s="1001">
        <f t="shared" si="3"/>
        <v>4.33524552103519</v>
      </c>
      <c r="K27" s="1002">
        <f t="shared" si="4"/>
        <v>7.86719554846679</v>
      </c>
    </row>
    <row r="28" ht="20.1" customHeight="1" spans="1:19">
      <c r="A28" s="986"/>
      <c r="B28" s="987"/>
      <c r="C28" s="988"/>
      <c r="D28" s="996">
        <v>900</v>
      </c>
      <c r="E28" s="997">
        <f>$D$28*E23</f>
        <v>877.36446756534</v>
      </c>
      <c r="F28" s="998">
        <f t="shared" ref="F28:I28" si="7">$D$28*F23</f>
        <v>849.121903582643</v>
      </c>
      <c r="G28" s="998">
        <f t="shared" si="7"/>
        <v>707.25474141136</v>
      </c>
      <c r="H28" s="999">
        <f t="shared" si="7"/>
        <v>816.706288399187</v>
      </c>
      <c r="I28" s="1000">
        <f t="shared" si="7"/>
        <v>813.146936579221</v>
      </c>
      <c r="J28" s="1001">
        <f t="shared" si="3"/>
        <v>4.87715121116458</v>
      </c>
      <c r="K28" s="1002">
        <f t="shared" si="4"/>
        <v>8.85059499202514</v>
      </c>
    </row>
    <row r="29" ht="20.1" customHeight="1" spans="1:19">
      <c r="A29" s="986"/>
      <c r="B29" s="987"/>
      <c r="C29" s="988"/>
      <c r="D29" s="996">
        <v>1000</v>
      </c>
      <c r="E29" s="997">
        <f>$D$29*E23</f>
        <v>974.849408405934</v>
      </c>
      <c r="F29" s="998">
        <f t="shared" ref="F29:I29" si="8">$D$29*F23</f>
        <v>943.468781758493</v>
      </c>
      <c r="G29" s="998">
        <f t="shared" si="8"/>
        <v>785.838601568178</v>
      </c>
      <c r="H29" s="999">
        <f t="shared" si="8"/>
        <v>907.451431554652</v>
      </c>
      <c r="I29" s="1000">
        <f t="shared" si="8"/>
        <v>903.496596199135</v>
      </c>
      <c r="J29" s="1001">
        <f t="shared" si="3"/>
        <v>5.41905690129398</v>
      </c>
      <c r="K29" s="1002">
        <f t="shared" si="4"/>
        <v>9.83399443558349</v>
      </c>
    </row>
    <row r="30" ht="20.1" customHeight="1" spans="1:19">
      <c r="A30" s="986"/>
      <c r="B30" s="987"/>
      <c r="C30" s="988"/>
      <c r="D30" s="996">
        <v>1200</v>
      </c>
      <c r="E30" s="997">
        <f>$D$30*E23</f>
        <v>1169.81929008712</v>
      </c>
      <c r="F30" s="998">
        <f t="shared" ref="F30:I30" si="9">$D$30*F23</f>
        <v>1132.16253811019</v>
      </c>
      <c r="G30" s="998">
        <f t="shared" si="9"/>
        <v>943.006321881813</v>
      </c>
      <c r="H30" s="999">
        <f t="shared" si="9"/>
        <v>1088.94171786558</v>
      </c>
      <c r="I30" s="1000">
        <f t="shared" si="9"/>
        <v>1084.19591543896</v>
      </c>
      <c r="J30" s="1001">
        <f t="shared" si="3"/>
        <v>6.50286828155278</v>
      </c>
      <c r="K30" s="1002">
        <f t="shared" si="4"/>
        <v>11.8007933227002</v>
      </c>
    </row>
    <row r="31" ht="20.1" customHeight="1" spans="1:19">
      <c r="A31" s="986"/>
      <c r="B31" s="987"/>
      <c r="C31" s="988"/>
      <c r="D31" s="996">
        <v>1300</v>
      </c>
      <c r="E31" s="997">
        <f>$D$31*E23</f>
        <v>1267.30423092771</v>
      </c>
      <c r="F31" s="998">
        <f t="shared" ref="F31:I31" si="10">$D$31*F23</f>
        <v>1226.50941628604</v>
      </c>
      <c r="G31" s="998">
        <f t="shared" si="10"/>
        <v>1021.59018203863</v>
      </c>
      <c r="H31" s="999">
        <f t="shared" si="10"/>
        <v>1179.68686102105</v>
      </c>
      <c r="I31" s="1000">
        <f t="shared" si="10"/>
        <v>1174.54557505887</v>
      </c>
      <c r="J31" s="1001">
        <f t="shared" si="3"/>
        <v>7.04477397168218</v>
      </c>
      <c r="K31" s="1002">
        <f t="shared" si="4"/>
        <v>12.7841927662585</v>
      </c>
    </row>
    <row r="32" ht="20.1" customHeight="1" spans="1:19">
      <c r="A32" s="986"/>
      <c r="B32" s="987"/>
      <c r="C32" s="988"/>
      <c r="D32" s="996">
        <v>1400</v>
      </c>
      <c r="E32" s="997">
        <f>$D$32*E23</f>
        <v>1364.78917176831</v>
      </c>
      <c r="F32" s="998">
        <f t="shared" ref="F32:I32" si="11">$D$32*F23</f>
        <v>1320.85629446189</v>
      </c>
      <c r="G32" s="998">
        <f t="shared" si="11"/>
        <v>1100.17404219545</v>
      </c>
      <c r="H32" s="999">
        <f t="shared" si="11"/>
        <v>1270.43200417651</v>
      </c>
      <c r="I32" s="1000">
        <f t="shared" si="11"/>
        <v>1264.89523467879</v>
      </c>
      <c r="J32" s="1001">
        <f t="shared" si="3"/>
        <v>7.58667966181157</v>
      </c>
      <c r="K32" s="1002">
        <f t="shared" si="4"/>
        <v>13.7675922098169</v>
      </c>
    </row>
    <row r="33" ht="20.1" customHeight="1" spans="1:11">
      <c r="A33" s="1003"/>
      <c r="B33" s="1004"/>
      <c r="C33" s="1005"/>
      <c r="D33" s="1006">
        <v>1500</v>
      </c>
      <c r="E33" s="1007">
        <f>$D$33*E23</f>
        <v>1462.2741126089</v>
      </c>
      <c r="F33" s="1008">
        <f t="shared" ref="F33:I33" si="12">$D$33*F23</f>
        <v>1415.20317263774</v>
      </c>
      <c r="G33" s="1008">
        <f t="shared" si="12"/>
        <v>1178.75790235227</v>
      </c>
      <c r="H33" s="1009">
        <f t="shared" si="12"/>
        <v>1361.17714733198</v>
      </c>
      <c r="I33" s="1010">
        <f t="shared" si="12"/>
        <v>1355.2448942987</v>
      </c>
      <c r="J33" s="1011">
        <f t="shared" si="3"/>
        <v>8.12858535194097</v>
      </c>
      <c r="K33" s="1012">
        <f t="shared" si="4"/>
        <v>14.7509916533752</v>
      </c>
    </row>
  </sheetData>
  <mergeCells count="26">
    <mergeCell ref="A7:D7"/>
    <mergeCell ref="B8:D8"/>
    <mergeCell ref="E8:F8"/>
    <mergeCell ref="H8:I8"/>
    <mergeCell ref="J8:L8"/>
    <mergeCell ref="P8:Q8"/>
    <mergeCell ref="H9:I9"/>
    <mergeCell ref="J9:L9"/>
    <mergeCell ref="H10:I10"/>
    <mergeCell ref="J10:L10"/>
    <mergeCell ref="H11:I11"/>
    <mergeCell ref="J11:L11"/>
    <mergeCell ref="H12:I12"/>
    <mergeCell ref="J12:L12"/>
    <mergeCell ref="H13:I13"/>
    <mergeCell ref="J13:L13"/>
    <mergeCell ref="H14:I14"/>
    <mergeCell ref="J14:L14"/>
    <mergeCell ref="A19:C19"/>
    <mergeCell ref="I19:K19"/>
    <mergeCell ref="A20:C20"/>
    <mergeCell ref="A21:C21"/>
    <mergeCell ref="D22:D23"/>
    <mergeCell ref="A24:C33"/>
    <mergeCell ref="A22:C23"/>
    <mergeCell ref="J20:K23"/>
  </mergeCells>
  <pageMargins left="0.551181102362205" right="0.393700787401575" top="0.32" bottom="0.43" header="0.31496062992126" footer="0.31496062992126"/>
  <pageSetup paperSize="9" scale="7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"/>
  <sheetViews>
    <sheetView tabSelected="1" zoomScale="137" zoomScaleNormal="137" workbookViewId="0">
      <selection activeCell="Y3" sqref="Y3"/>
    </sheetView>
  </sheetViews>
  <sheetFormatPr defaultColWidth="9" defaultRowHeight="12.75"/>
  <cols>
    <col min="1" max="1" width="3.42222222222222" customWidth="1"/>
    <col min="2" max="2" width="3.85555555555556" customWidth="1"/>
    <col min="3" max="3" width="5" customWidth="1"/>
    <col min="4" max="4" width="3.56666666666667" customWidth="1"/>
    <col min="5" max="5" width="3.71111111111111" customWidth="1"/>
    <col min="6" max="6" width="4.42222222222222" customWidth="1"/>
    <col min="7" max="7" width="4.28888888888889" customWidth="1"/>
    <col min="8" max="8" width="3.71111111111111" customWidth="1"/>
    <col min="9" max="9" width="8.63333333333333" customWidth="1"/>
    <col min="10" max="10" width="5.95555555555556" customWidth="1"/>
    <col min="11" max="11" width="11.0666666666667" customWidth="1"/>
    <col min="12" max="12" width="5.11111111111111" customWidth="1"/>
    <col min="13" max="13" width="8.51111111111111" customWidth="1"/>
    <col min="14" max="14" width="5.95555555555556" customWidth="1"/>
    <col min="15" max="15" width="7.9" customWidth="1"/>
    <col min="16" max="16" width="11.0666666666667" customWidth="1"/>
    <col min="17" max="19" width="6.68888888888889" customWidth="1"/>
    <col min="20" max="20" width="5.46666666666667" customWidth="1"/>
    <col min="21" max="30" width="11.0666666666667" customWidth="1"/>
  </cols>
  <sheetData>
    <row r="1" ht="15.75" spans="1:30">
      <c r="N1" s="746" t="s">
        <v>0</v>
      </c>
    </row>
    <row r="2" ht="15.75" spans="1:30">
      <c r="N2" s="747" t="s">
        <v>24</v>
      </c>
      <c r="AB2" s="748" t="s">
        <v>25</v>
      </c>
      <c r="AC2" s="748"/>
    </row>
    <row r="3" ht="13.5" customHeight="1" spans="1:30">
      <c r="D3" s="749"/>
      <c r="E3" s="749"/>
      <c r="F3" s="749"/>
      <c r="AB3" s="750" t="s">
        <v>26</v>
      </c>
      <c r="AC3" s="750"/>
    </row>
    <row r="4" ht="15.75" spans="1:30">
      <c r="A4" s="751">
        <f ca="1">NOW()</f>
        <v>46288.7444675926</v>
      </c>
      <c r="B4" s="751"/>
      <c r="C4" s="751"/>
      <c r="D4" s="751"/>
      <c r="E4" s="751"/>
      <c r="F4" s="751"/>
      <c r="AB4" s="750"/>
      <c r="AC4" s="750"/>
    </row>
    <row r="5" ht="1.5" customHeight="1"/>
    <row r="6" spans="1:30">
      <c r="F6" s="752"/>
      <c r="G6" s="752"/>
      <c r="H6" s="753"/>
      <c r="I6" s="753"/>
      <c r="J6" s="754" t="s">
        <v>27</v>
      </c>
      <c r="K6" s="755">
        <v>250</v>
      </c>
      <c r="L6" s="756" t="s">
        <v>28</v>
      </c>
      <c r="M6" s="756">
        <v>160</v>
      </c>
      <c r="N6" s="756" t="s">
        <v>28</v>
      </c>
      <c r="O6" s="756">
        <v>8</v>
      </c>
      <c r="P6" s="757" t="s">
        <v>29</v>
      </c>
      <c r="S6" s="757"/>
      <c r="U6" s="753"/>
      <c r="V6" s="753"/>
      <c r="W6" s="754" t="s">
        <v>3</v>
      </c>
      <c r="X6" s="758">
        <f>Осн.таблица!C3</f>
        <v>245.770546802272</v>
      </c>
      <c r="Y6" s="759" t="s">
        <v>2</v>
      </c>
      <c r="AB6" s="753"/>
    </row>
    <row r="7" ht="5.25" hidden="1" customHeight="1" spans="1:30">
      <c r="F7" s="752"/>
      <c r="G7" s="752"/>
      <c r="H7" s="753"/>
      <c r="I7" s="753"/>
      <c r="J7" s="754"/>
      <c r="K7" s="755"/>
      <c r="L7" s="755"/>
      <c r="M7" s="760"/>
      <c r="N7" s="755"/>
      <c r="O7" s="756"/>
      <c r="Q7" s="754"/>
      <c r="R7" s="761"/>
      <c r="S7" s="757"/>
      <c r="U7" s="753"/>
      <c r="V7" s="753"/>
      <c r="W7" s="754"/>
      <c r="X7" s="756"/>
      <c r="Y7" s="759"/>
      <c r="AB7" s="753"/>
    </row>
    <row r="8" ht="13.5" customHeight="1" spans="1:30">
      <c r="C8" s="753"/>
      <c r="D8" s="753"/>
      <c r="E8" s="754"/>
      <c r="F8" s="753"/>
      <c r="G8" s="753"/>
      <c r="H8" s="757"/>
      <c r="I8" s="754" t="s">
        <v>30</v>
      </c>
      <c r="J8" s="754" t="s">
        <v>31</v>
      </c>
      <c r="K8" s="762">
        <f>((K6+M6)/2)*W12</f>
        <v>250.069407967053</v>
      </c>
      <c r="L8" s="763" t="s">
        <v>32</v>
      </c>
      <c r="M8" s="764">
        <f>((K6+M6)/2)*Y12</f>
        <v>255.410001927321</v>
      </c>
      <c r="N8" s="765"/>
      <c r="O8" s="766">
        <f>Осн.таблица!C13</f>
        <v>3.875</v>
      </c>
      <c r="P8" s="753" t="s">
        <v>33</v>
      </c>
      <c r="S8" s="757"/>
      <c r="U8" s="753"/>
      <c r="V8" s="753"/>
      <c r="W8" s="754" t="s">
        <v>34</v>
      </c>
      <c r="X8" s="756">
        <v>0</v>
      </c>
      <c r="Y8" s="759" t="s">
        <v>2</v>
      </c>
      <c r="AB8" s="753"/>
    </row>
    <row r="9" ht="0.75" hidden="1" customHeight="1" spans="1:30">
      <c r="F9" s="752"/>
      <c r="G9" s="752"/>
      <c r="H9" s="752"/>
      <c r="I9" s="753"/>
      <c r="J9" s="753"/>
      <c r="K9" s="767"/>
      <c r="L9" s="767"/>
      <c r="M9" s="755"/>
      <c r="N9" s="753"/>
      <c r="O9" s="753"/>
      <c r="P9" s="753"/>
      <c r="Q9" s="754"/>
      <c r="R9" s="768"/>
      <c r="T9" s="753"/>
      <c r="U9" s="753"/>
      <c r="V9" s="753"/>
      <c r="W9" s="753"/>
      <c r="X9" s="756"/>
      <c r="Y9" s="759"/>
      <c r="Z9" s="759"/>
      <c r="AA9" s="759"/>
      <c r="AB9" s="753"/>
    </row>
    <row r="10" ht="13.5" spans="1:30">
      <c r="I10" s="32"/>
      <c r="J10" s="754" t="s">
        <v>35</v>
      </c>
      <c r="K10" s="769">
        <v>31</v>
      </c>
      <c r="L10" s="755" t="s">
        <v>2</v>
      </c>
      <c r="M10" s="769">
        <f>Осн.таблица!C7</f>
        <v>33.709888335815</v>
      </c>
      <c r="N10" s="770">
        <f>100-((K10*100)/M10)</f>
        <v>8.03885289924233</v>
      </c>
      <c r="O10" s="771">
        <f>M10/O6</f>
        <v>4.21373604197688</v>
      </c>
      <c r="P10" s="32"/>
      <c r="Q10" s="44"/>
      <c r="R10" s="772"/>
      <c r="S10" s="32"/>
      <c r="T10" s="32"/>
      <c r="U10" s="32"/>
      <c r="V10" s="32"/>
      <c r="W10" s="754" t="s">
        <v>36</v>
      </c>
      <c r="X10" s="756">
        <v>5</v>
      </c>
      <c r="Y10" s="757" t="s">
        <v>37</v>
      </c>
      <c r="Z10" s="773"/>
      <c r="AA10" s="773"/>
      <c r="AB10" s="32"/>
    </row>
    <row r="11" ht="3.75" customHeight="1" spans="1:30">
      <c r="I11" s="32"/>
      <c r="J11" s="32"/>
      <c r="K11" s="767"/>
      <c r="L11" s="767"/>
      <c r="M11" s="755"/>
      <c r="N11" s="753"/>
      <c r="O11" s="32"/>
      <c r="P11" s="32"/>
      <c r="Q11" s="44"/>
      <c r="R11" s="772"/>
      <c r="S11" s="32"/>
      <c r="T11" s="32"/>
      <c r="U11" s="32"/>
      <c r="V11" s="32"/>
      <c r="W11" s="32"/>
      <c r="X11" s="774"/>
      <c r="Y11" s="773"/>
      <c r="Z11" s="773"/>
      <c r="AA11" s="773"/>
      <c r="AB11" s="32"/>
    </row>
    <row r="12" customHeight="1" spans="1:30">
      <c r="I12" s="32"/>
      <c r="J12" s="754" t="s">
        <v>38</v>
      </c>
      <c r="K12" s="775">
        <f>((2*(K6+M6)-(PI()*X6*(1-(0.005+0.0025*O6))))/1.77)</f>
        <v>37.9614854829402</v>
      </c>
      <c r="L12" s="776" t="s">
        <v>2</v>
      </c>
      <c r="M12" s="777"/>
      <c r="N12" s="753"/>
      <c r="O12" s="32"/>
      <c r="P12" s="753" t="s">
        <v>39</v>
      </c>
      <c r="Q12" s="754"/>
      <c r="R12" s="768"/>
      <c r="S12" s="753"/>
      <c r="T12" s="753"/>
      <c r="U12" s="753"/>
      <c r="V12" s="754" t="s">
        <v>40</v>
      </c>
      <c r="W12" s="778">
        <f>Коэф!G5</f>
        <v>1.21985077057099</v>
      </c>
      <c r="X12" s="767" t="s">
        <v>41</v>
      </c>
      <c r="Y12" s="779">
        <f>Коэф!F5</f>
        <v>1.24590244842596</v>
      </c>
      <c r="Z12" s="767" t="s">
        <v>42</v>
      </c>
      <c r="AA12" s="778">
        <f>X6/((K6+M6)/2)</f>
        <v>1.19888071610865</v>
      </c>
    </row>
    <row r="13" ht="13.5" spans="1:30">
      <c r="A13" s="780" t="s">
        <v>5</v>
      </c>
      <c r="B13" s="781"/>
      <c r="C13" s="781"/>
      <c r="D13" s="781"/>
      <c r="E13" s="781"/>
      <c r="F13" s="781"/>
      <c r="G13" s="781"/>
      <c r="H13" s="781"/>
      <c r="I13" s="781"/>
      <c r="J13" s="781"/>
      <c r="K13" s="782"/>
      <c r="L13" s="782"/>
      <c r="M13" s="782"/>
      <c r="N13" s="781"/>
      <c r="O13" s="781"/>
      <c r="P13" s="783"/>
      <c r="Q13" s="784" t="s">
        <v>6</v>
      </c>
      <c r="R13" s="785"/>
      <c r="S13" s="785"/>
      <c r="T13" s="785"/>
      <c r="U13" s="785"/>
      <c r="V13" s="785"/>
      <c r="W13" s="786"/>
      <c r="X13" s="786"/>
      <c r="Y13" s="786"/>
      <c r="Z13" s="786"/>
      <c r="AA13" s="786"/>
      <c r="AB13" s="785"/>
      <c r="AC13" s="785"/>
      <c r="AD13" s="35"/>
    </row>
    <row r="14" ht="6.75" customHeight="1" spans="1:30">
      <c r="A14" s="787"/>
      <c r="B14" s="788"/>
      <c r="C14" s="788"/>
      <c r="D14" s="788"/>
      <c r="E14" s="788"/>
      <c r="F14" s="788"/>
      <c r="G14" s="788"/>
      <c r="H14" s="788"/>
      <c r="I14" s="788"/>
      <c r="J14" s="788"/>
      <c r="K14" s="788"/>
      <c r="L14" s="788"/>
      <c r="M14" s="788"/>
      <c r="N14" s="788"/>
      <c r="O14" s="788"/>
      <c r="P14" s="789"/>
      <c r="Q14" s="787"/>
      <c r="R14" s="788"/>
      <c r="S14" s="788"/>
      <c r="T14" s="788"/>
      <c r="U14" s="788"/>
      <c r="V14" s="788"/>
      <c r="W14" s="788"/>
      <c r="X14" s="788"/>
      <c r="Y14" s="788"/>
      <c r="Z14" s="788"/>
      <c r="AA14" s="790"/>
      <c r="AB14" s="788"/>
      <c r="AC14" s="788"/>
      <c r="AD14" s="789"/>
    </row>
    <row r="15" ht="51" customHeight="1" spans="1:30">
      <c r="A15" s="791" t="s">
        <v>43</v>
      </c>
      <c r="B15" s="792" t="s">
        <v>44</v>
      </c>
      <c r="C15" s="793" t="s">
        <v>45</v>
      </c>
      <c r="D15" s="794" t="s">
        <v>46</v>
      </c>
      <c r="E15" s="794"/>
      <c r="F15" s="794"/>
      <c r="G15" s="791" t="s">
        <v>8</v>
      </c>
      <c r="H15" s="794"/>
      <c r="I15" s="794"/>
      <c r="J15" s="795"/>
      <c r="K15" s="794" t="s">
        <v>47</v>
      </c>
      <c r="L15" s="794"/>
      <c r="M15" s="794"/>
      <c r="N15" s="794"/>
      <c r="O15" s="796" t="s">
        <v>48</v>
      </c>
      <c r="P15" s="797"/>
      <c r="Q15" s="798" t="s">
        <v>12</v>
      </c>
      <c r="R15" s="799"/>
      <c r="S15" s="793"/>
      <c r="T15" s="800" t="s">
        <v>49</v>
      </c>
      <c r="U15" s="801" t="s">
        <v>50</v>
      </c>
      <c r="V15" s="802" t="s">
        <v>51</v>
      </c>
      <c r="W15" s="803"/>
      <c r="X15" s="794" t="s">
        <v>52</v>
      </c>
      <c r="Y15" s="794"/>
      <c r="Z15" s="794"/>
      <c r="AA15" s="804" t="s">
        <v>53</v>
      </c>
      <c r="AB15" s="805" t="s">
        <v>15</v>
      </c>
      <c r="AC15" s="806" t="s">
        <v>54</v>
      </c>
      <c r="AD15" s="793"/>
    </row>
    <row r="16" ht="16.5" customHeight="1" spans="1:30">
      <c r="A16" s="791" t="s">
        <v>55</v>
      </c>
      <c r="B16" s="807"/>
      <c r="C16" s="790"/>
      <c r="D16" s="808" t="s">
        <v>56</v>
      </c>
      <c r="E16" s="794" t="s">
        <v>57</v>
      </c>
      <c r="F16" s="808" t="s">
        <v>58</v>
      </c>
      <c r="G16" s="794" t="s">
        <v>59</v>
      </c>
      <c r="H16" s="809" t="s">
        <v>60</v>
      </c>
      <c r="I16" s="794" t="s">
        <v>61</v>
      </c>
      <c r="J16" s="808" t="s">
        <v>62</v>
      </c>
      <c r="K16" s="794" t="s">
        <v>63</v>
      </c>
      <c r="L16" s="796" t="s">
        <v>64</v>
      </c>
      <c r="M16" s="797"/>
      <c r="N16" s="794" t="s">
        <v>65</v>
      </c>
      <c r="O16" s="808" t="s">
        <v>10</v>
      </c>
      <c r="P16" s="794" t="s">
        <v>49</v>
      </c>
      <c r="Q16" s="798" t="s">
        <v>66</v>
      </c>
      <c r="R16" s="799"/>
      <c r="S16" s="793"/>
      <c r="T16" s="810" t="s">
        <v>63</v>
      </c>
      <c r="U16" s="791"/>
      <c r="V16" s="811" t="s">
        <v>41</v>
      </c>
      <c r="W16" s="812" t="s">
        <v>40</v>
      </c>
      <c r="X16" s="794" t="s">
        <v>67</v>
      </c>
      <c r="Y16" s="808" t="s">
        <v>68</v>
      </c>
      <c r="Z16" s="813" t="s">
        <v>69</v>
      </c>
      <c r="AA16" s="808"/>
      <c r="AB16" s="808"/>
      <c r="AC16" s="794" t="s">
        <v>70</v>
      </c>
      <c r="AD16" s="808" t="s">
        <v>71</v>
      </c>
    </row>
    <row r="17" ht="30" customHeight="1" spans="1:34">
      <c r="A17" s="814">
        <v>1</v>
      </c>
      <c r="B17" s="815">
        <f>Осн.таблица!D36</f>
        <v>19.8701235775453</v>
      </c>
      <c r="C17" s="816">
        <f>Осн.таблица!D37</f>
        <v>46.7455826876363</v>
      </c>
      <c r="D17" s="817">
        <f>IF(L17&lt;=0,0,L17)</f>
        <v>5</v>
      </c>
      <c r="E17" s="818">
        <f t="shared" ref="E17:E22" si="0">AD17</f>
        <v>-5</v>
      </c>
      <c r="F17" s="819">
        <f>IF(E17&lt;0,D17+(D17+E17),D17+E17)</f>
        <v>5</v>
      </c>
      <c r="G17" s="820">
        <v>400</v>
      </c>
      <c r="H17" s="821">
        <f>VLOOKUP(I17,'Данные ВГ'!A:B,2)</f>
        <v>1</v>
      </c>
      <c r="I17" s="822">
        <v>529</v>
      </c>
      <c r="J17" s="823">
        <v>300</v>
      </c>
      <c r="K17" s="824">
        <f>Осн.таблица!D5</f>
        <v>240.770546802272</v>
      </c>
      <c r="L17" s="825">
        <v>5</v>
      </c>
      <c r="M17" s="826"/>
      <c r="N17" s="819"/>
      <c r="O17" s="824">
        <f>Осн.таблица!D32</f>
        <v>41.1147265988639</v>
      </c>
      <c r="P17" s="827">
        <f>Осн.таблица!D31</f>
        <v>99.8852734011361</v>
      </c>
      <c r="Q17" s="41" t="s">
        <v>72</v>
      </c>
      <c r="R17" s="828"/>
      <c r="S17" s="828"/>
      <c r="T17" s="829"/>
      <c r="U17" s="830">
        <v>410</v>
      </c>
      <c r="V17" s="817">
        <f>IF(T17=0,VLOOKUP(U17,'Наст. эксц.'!$B$21:$C$30,2),VLOOKUP(U17,'Наст. эксц.'!$H$21:$I$30,2))</f>
        <v>500</v>
      </c>
      <c r="W17" s="819">
        <f>VLOOKUP(U17,'Наст. эксц.'!D21:E30,2)</f>
        <v>140</v>
      </c>
      <c r="X17" s="831">
        <v>105</v>
      </c>
      <c r="Y17" s="832">
        <v>300</v>
      </c>
      <c r="Z17" s="827">
        <f>Осн.таблица!D4</f>
        <v>164.377344552251</v>
      </c>
      <c r="AA17" s="833">
        <f>IF($T$17=0,570-(125+(AC17+U17)/2),0)</f>
        <v>114.614726598864</v>
      </c>
      <c r="AB17" s="833">
        <f>Осн.таблица!D33</f>
        <v>27.5</v>
      </c>
      <c r="AC17" s="824">
        <f>Осн.таблица!D15</f>
        <v>250.770546802272</v>
      </c>
      <c r="AD17" s="834">
        <v>-5</v>
      </c>
    </row>
    <row r="18" ht="30" customHeight="1" spans="1:34">
      <c r="A18" s="835">
        <v>2</v>
      </c>
      <c r="B18" s="836">
        <f>Осн.таблица!E36</f>
        <v>37.7796221844856</v>
      </c>
      <c r="C18" s="837">
        <f>Осн.таблица!E37</f>
        <v>945.346480853059</v>
      </c>
      <c r="D18" s="817">
        <f>IF(L18&lt;=0,0,L18)</f>
        <v>13</v>
      </c>
      <c r="E18" s="838">
        <f t="shared" si="0"/>
        <v>7</v>
      </c>
      <c r="F18" s="839">
        <f>IF(E18&lt;0,D18+(D18+E18),D18+E18)</f>
        <v>20</v>
      </c>
      <c r="G18" s="840">
        <v>400</v>
      </c>
      <c r="H18" s="841">
        <f>VLOOKUP(I18,'Данные ВГ'!A:B,2)</f>
        <v>3</v>
      </c>
      <c r="I18" s="842">
        <v>548</v>
      </c>
      <c r="J18" s="843">
        <v>600</v>
      </c>
      <c r="K18" s="844">
        <f>Осн.таблица!E5</f>
        <v>227.770546802272</v>
      </c>
      <c r="L18" s="845">
        <f>Осн.таблица!E3</f>
        <v>13</v>
      </c>
      <c r="M18" s="844"/>
      <c r="N18" s="846">
        <v>-6</v>
      </c>
      <c r="O18" s="844">
        <f>Осн.таблица!E32</f>
        <v>38.1147265988639</v>
      </c>
      <c r="P18" s="845">
        <f>Осн.таблица!E31</f>
        <v>102.885273401136</v>
      </c>
      <c r="Q18" s="28" t="s">
        <v>73</v>
      </c>
      <c r="R18" s="847"/>
      <c r="S18" s="848"/>
      <c r="T18" s="849">
        <v>220</v>
      </c>
      <c r="U18" s="850">
        <v>410</v>
      </c>
      <c r="V18" s="851">
        <f>IF(T17=0,VLOOKUP(U18,'Наст. эксц.'!$B$21:$C$30,2),VLOOKUP(U18,'Наст. эксц.'!$H$21:$I$30,2))</f>
        <v>500</v>
      </c>
      <c r="W18" s="839">
        <f>VLOOKUP(U18,'Наст. эксц.'!D21:E30,2)</f>
        <v>140</v>
      </c>
      <c r="X18" s="852">
        <v>115</v>
      </c>
      <c r="Y18" s="853">
        <v>600</v>
      </c>
      <c r="Z18" s="845">
        <f>Осн.таблица!E4</f>
        <v>193.45597175151</v>
      </c>
      <c r="AA18" s="854">
        <f>IF($T$17=0,570-(125+(AC18+U18)/2),0)</f>
        <v>118.114726598864</v>
      </c>
      <c r="AB18" s="854">
        <f>Осн.таблица!E33</f>
        <v>22.5</v>
      </c>
      <c r="AC18" s="844">
        <f>Осн.таблица!E15</f>
        <v>243.770546802272</v>
      </c>
      <c r="AD18" s="855">
        <v>7</v>
      </c>
    </row>
    <row r="19" ht="30" customHeight="1" spans="1:34">
      <c r="A19" s="835">
        <v>3</v>
      </c>
      <c r="B19" s="836">
        <f>Осн.таблица!F36</f>
        <v>15.3525022148797</v>
      </c>
      <c r="C19" s="837">
        <f>Осн.таблица!F37</f>
        <v>956.070613273855</v>
      </c>
      <c r="D19" s="851">
        <f>L19</f>
        <v>2</v>
      </c>
      <c r="E19" s="838">
        <f t="shared" si="0"/>
        <v>9</v>
      </c>
      <c r="F19" s="839">
        <f t="shared" ref="F19:F22" si="1">IF(E19&lt;0,D19+(D19+E19),D19+E19)</f>
        <v>11</v>
      </c>
      <c r="G19" s="840">
        <v>400</v>
      </c>
      <c r="H19" s="841">
        <f>VLOOKUP(I19,'Данные ВГ'!A:B,2)</f>
        <v>4</v>
      </c>
      <c r="I19" s="842">
        <v>565</v>
      </c>
      <c r="J19" s="843">
        <v>1200</v>
      </c>
      <c r="K19" s="844">
        <f>Осн.таблица!F5</f>
        <v>225.770546802272</v>
      </c>
      <c r="L19" s="856">
        <v>2</v>
      </c>
      <c r="M19" s="857"/>
      <c r="N19" s="858"/>
      <c r="O19" s="844">
        <f>Осн.таблица!F32</f>
        <v>30.6147265988639</v>
      </c>
      <c r="P19" s="845">
        <f>Осн.таблица!F31</f>
        <v>110.385273401136</v>
      </c>
      <c r="Q19" s="28" t="s">
        <v>74</v>
      </c>
      <c r="R19" s="847"/>
      <c r="S19" s="848"/>
      <c r="T19" s="829"/>
      <c r="U19" s="850">
        <v>410</v>
      </c>
      <c r="V19" s="851">
        <f>IF(T19=0,VLOOKUP(U19,'Наст. эксц.'!$B$21:$C$30,2),VLOOKUP(U19,'Наст. эксц.'!$H$21:$I$30,2))</f>
        <v>500</v>
      </c>
      <c r="W19" s="839">
        <f>VLOOKUP(U19,'Наст. эксц.'!D21:E30,2)</f>
        <v>140</v>
      </c>
      <c r="X19" s="852">
        <v>125</v>
      </c>
      <c r="Y19" s="853">
        <v>600</v>
      </c>
      <c r="Z19" s="845">
        <f>Осн.таблица!F4</f>
        <v>208.986503422195</v>
      </c>
      <c r="AA19" s="854">
        <f>IF($T$19=0,570-(125+(AC19+U19)/2),0)</f>
        <v>122.614726598864</v>
      </c>
      <c r="AB19" s="854">
        <f>Осн.таблица!F33</f>
        <v>17.5</v>
      </c>
      <c r="AC19" s="844">
        <f>Осн.таблица!F15</f>
        <v>234.770546802272</v>
      </c>
      <c r="AD19" s="855">
        <v>9</v>
      </c>
    </row>
    <row r="20" ht="30" customHeight="1" spans="1:34">
      <c r="A20" s="835">
        <v>4</v>
      </c>
      <c r="B20" s="836">
        <f>Осн.таблица!G36</f>
        <v>28.4914818703899</v>
      </c>
      <c r="C20" s="837">
        <f>Осн.таблица!G37</f>
        <v>1003.98299571417</v>
      </c>
      <c r="D20" s="851">
        <f>L20</f>
        <v>6</v>
      </c>
      <c r="E20" s="838">
        <f t="shared" si="0"/>
        <v>8</v>
      </c>
      <c r="F20" s="839">
        <f t="shared" si="1"/>
        <v>14</v>
      </c>
      <c r="G20" s="840">
        <v>400</v>
      </c>
      <c r="H20" s="841">
        <f>VLOOKUP(I20,'Данные ВГ'!A:B,2)</f>
        <v>4</v>
      </c>
      <c r="I20" s="842">
        <v>577</v>
      </c>
      <c r="J20" s="843">
        <v>3000</v>
      </c>
      <c r="K20" s="844">
        <f>Осн.таблица!G5</f>
        <v>219.770546802272</v>
      </c>
      <c r="L20" s="845">
        <f>Осн.таблица!G3</f>
        <v>6</v>
      </c>
      <c r="M20" s="844"/>
      <c r="N20" s="846">
        <v>-6</v>
      </c>
      <c r="O20" s="844">
        <f>Осн.таблица!G32</f>
        <v>27.6147265988639</v>
      </c>
      <c r="P20" s="845">
        <f>Осн.таблица!G31</f>
        <v>113.385273401136</v>
      </c>
      <c r="Q20" s="28" t="s">
        <v>75</v>
      </c>
      <c r="R20" s="847"/>
      <c r="S20" s="848"/>
      <c r="T20" s="859">
        <v>220</v>
      </c>
      <c r="U20" s="850">
        <v>410</v>
      </c>
      <c r="V20" s="851">
        <f>IF(T19=0,VLOOKUP(U20,'Наст. эксц.'!$B$21:$C$30,2),VLOOKUP(U20,'Наст. эксц.'!$H$21:$I$30,2))</f>
        <v>500</v>
      </c>
      <c r="W20" s="839">
        <f>VLOOKUP(U20,'Наст. эксц.'!D21:E30,2)</f>
        <v>140</v>
      </c>
      <c r="X20" s="852">
        <v>125</v>
      </c>
      <c r="Y20" s="853">
        <v>1500</v>
      </c>
      <c r="Z20" s="845">
        <f>Осн.таблица!G4</f>
        <v>213.096456221425</v>
      </c>
      <c r="AA20" s="854">
        <f>IF($T$19=0,570-(125+(AC20+U20)/2),0)</f>
        <v>126.614726598864</v>
      </c>
      <c r="AB20" s="854">
        <f>Осн.таблица!G33</f>
        <v>17.5</v>
      </c>
      <c r="AC20" s="844">
        <f>Осн.таблица!G15</f>
        <v>226.770546802272</v>
      </c>
      <c r="AD20" s="855">
        <v>8</v>
      </c>
    </row>
    <row r="21" ht="30" customHeight="1" spans="1:34">
      <c r="A21" s="835">
        <v>5</v>
      </c>
      <c r="B21" s="836">
        <f>Осн.таблица!H36</f>
        <v>11.8393660405907</v>
      </c>
      <c r="C21" s="837">
        <f>Осн.таблица!H37</f>
        <v>1013.52612882556</v>
      </c>
      <c r="D21" s="851">
        <f>L21</f>
        <v>1</v>
      </c>
      <c r="E21" s="838">
        <f t="shared" si="0"/>
        <v>7</v>
      </c>
      <c r="F21" s="839">
        <f t="shared" si="1"/>
        <v>8</v>
      </c>
      <c r="G21" s="840">
        <v>400</v>
      </c>
      <c r="H21" s="841">
        <f>VLOOKUP(I21,'Данные ВГ'!A:B,2)</f>
        <v>5</v>
      </c>
      <c r="I21" s="842">
        <v>587</v>
      </c>
      <c r="J21" s="843">
        <v>7000</v>
      </c>
      <c r="K21" s="844">
        <f>Осн.таблица!H5</f>
        <v>218.770546802272</v>
      </c>
      <c r="L21" s="856">
        <v>1</v>
      </c>
      <c r="M21" s="857"/>
      <c r="N21" s="839"/>
      <c r="O21" s="844">
        <f>Осн.таблица!H32</f>
        <v>23.1147265988639</v>
      </c>
      <c r="P21" s="845">
        <f>Осн.таблица!H31</f>
        <v>117.885273401136</v>
      </c>
      <c r="Q21" s="28" t="s">
        <v>76</v>
      </c>
      <c r="R21" s="847"/>
      <c r="S21" s="848"/>
      <c r="T21" s="860"/>
      <c r="U21" s="850">
        <v>410</v>
      </c>
      <c r="V21" s="851">
        <f>IF(T21=0,VLOOKUP(U21,'Наст. эксц.'!$B$21:$C$30,2),VLOOKUP(U21,'Наст. эксц.'!$H$21:$I$30,2))</f>
        <v>500</v>
      </c>
      <c r="W21" s="839">
        <f>VLOOKUP(U21,'Наст. эксц.'!D22:E31,2)</f>
        <v>140</v>
      </c>
      <c r="X21" s="852">
        <v>135</v>
      </c>
      <c r="Y21" s="861">
        <v>1500</v>
      </c>
      <c r="Z21" s="845">
        <f>Осн.таблица!H4</f>
        <v>215.912820616632</v>
      </c>
      <c r="AA21" s="854">
        <f>IF($T$21=0,570-(125+(AC21+U21)/2),0)</f>
        <v>130.114726598864</v>
      </c>
      <c r="AB21" s="854">
        <f>Осн.таблица!H33</f>
        <v>12.5</v>
      </c>
      <c r="AC21" s="844">
        <f>Осн.таблица!H15</f>
        <v>219.770546802272</v>
      </c>
      <c r="AD21" s="855">
        <v>7</v>
      </c>
    </row>
    <row r="22" ht="30" customHeight="1" spans="1:34">
      <c r="A22" s="862">
        <v>6</v>
      </c>
      <c r="B22" s="863">
        <f>Осн.таблица!I36</f>
        <v>17.0856598197999</v>
      </c>
      <c r="C22" s="864">
        <f>Осн.таблица!I37</f>
        <v>1020.82720769061</v>
      </c>
      <c r="D22" s="865">
        <f>L22</f>
        <v>1</v>
      </c>
      <c r="E22" s="866">
        <f t="shared" si="0"/>
        <v>3</v>
      </c>
      <c r="F22" s="867">
        <f t="shared" si="1"/>
        <v>4</v>
      </c>
      <c r="G22" s="868">
        <v>400</v>
      </c>
      <c r="H22" s="869">
        <f>VLOOKUP(I22,'Данные ВГ'!A:B,2)</f>
        <v>5</v>
      </c>
      <c r="I22" s="870">
        <v>589</v>
      </c>
      <c r="J22" s="871" t="s">
        <v>77</v>
      </c>
      <c r="K22" s="872">
        <f>Осн.таблица!I5</f>
        <v>216.770546802272</v>
      </c>
      <c r="L22" s="873">
        <v>1</v>
      </c>
      <c r="M22" s="872"/>
      <c r="N22" s="874"/>
      <c r="O22" s="872">
        <f>Осн.таблица!I32</f>
        <v>23.1147265988639</v>
      </c>
      <c r="P22" s="873">
        <f>Осн.таблица!I31</f>
        <v>117.885273401136</v>
      </c>
      <c r="Q22" s="18" t="s">
        <v>78</v>
      </c>
      <c r="R22" s="875"/>
      <c r="S22" s="876"/>
      <c r="T22" s="859">
        <v>220</v>
      </c>
      <c r="U22" s="877">
        <v>455</v>
      </c>
      <c r="V22" s="865">
        <f>IF(T21=0,VLOOKUP(U22,'Наст. эксц.'!$B$21:$C$30,2),VLOOKUP(U22,'Наст. эксц.'!$H$21:$I$30,2))</f>
        <v>455</v>
      </c>
      <c r="W22" s="867">
        <f>VLOOKUP(U22,'Наст. эксц.'!D21:E307,2)</f>
        <v>95</v>
      </c>
      <c r="X22" s="878">
        <v>145</v>
      </c>
      <c r="Y22" s="879" t="s">
        <v>77</v>
      </c>
      <c r="Z22" s="873">
        <f>Осн.таблица!I4</f>
        <v>216.750546802021</v>
      </c>
      <c r="AA22" s="880">
        <f>IF($T$21=0,570-(125+(AC22+U22)/2),0)</f>
        <v>109.114726598864</v>
      </c>
      <c r="AB22" s="880">
        <f>Осн.таблица!I33</f>
        <v>7.5</v>
      </c>
      <c r="AC22" s="872">
        <f>Осн.таблица!I15</f>
        <v>216.770546802272</v>
      </c>
      <c r="AD22" s="881">
        <v>3</v>
      </c>
    </row>
    <row r="23" ht="16.5" spans="1:34">
      <c r="A23" s="882" t="s">
        <v>79</v>
      </c>
      <c r="B23" s="883"/>
      <c r="C23" s="883"/>
      <c r="D23" s="883"/>
      <c r="E23" s="883"/>
      <c r="F23" s="884">
        <f>SUM(F17:F22)</f>
        <v>62</v>
      </c>
      <c r="G23" s="885" t="s">
        <v>80</v>
      </c>
      <c r="H23" s="886"/>
      <c r="I23" s="887">
        <f>(2*O6*(K6+M6-2*O6)-(4-3.1415)*(K10^2-(K10-O6)^2))/10^2</f>
        <v>59.33128</v>
      </c>
      <c r="J23" s="888">
        <f>0.785*I23</f>
        <v>46.5750548</v>
      </c>
      <c r="K23" s="889" t="s">
        <v>56</v>
      </c>
      <c r="L23" s="890">
        <f>SUM(L17:M22)</f>
        <v>28</v>
      </c>
      <c r="M23" s="891"/>
      <c r="N23" s="780" t="s">
        <v>81</v>
      </c>
      <c r="O23" s="781"/>
      <c r="P23" s="781"/>
      <c r="Q23" s="781"/>
      <c r="R23" s="781"/>
      <c r="S23" s="781"/>
      <c r="T23" s="781"/>
      <c r="U23" s="781"/>
      <c r="V23" s="781"/>
      <c r="W23" s="781"/>
      <c r="X23" s="783"/>
      <c r="Y23" s="96"/>
      <c r="Z23" s="883"/>
      <c r="AA23" s="892" t="s">
        <v>82</v>
      </c>
      <c r="AB23" s="893">
        <f>Осн.таблица!C23</f>
        <v>1335</v>
      </c>
      <c r="AC23" s="783" t="s">
        <v>57</v>
      </c>
      <c r="AD23" s="894">
        <f>F23-L23</f>
        <v>34</v>
      </c>
      <c r="AH23" t="s">
        <v>83</v>
      </c>
    </row>
    <row r="24" ht="15.75" spans="1:34">
      <c r="C24" s="895" t="s">
        <v>84</v>
      </c>
      <c r="D24" s="895"/>
      <c r="E24" s="895"/>
      <c r="F24" s="895"/>
      <c r="G24" s="895"/>
      <c r="H24" s="895"/>
      <c r="I24" s="895"/>
      <c r="J24" s="895"/>
      <c r="K24" s="895"/>
      <c r="L24" s="895"/>
      <c r="M24" s="895"/>
      <c r="N24" s="895"/>
      <c r="O24" s="895"/>
      <c r="P24" s="895"/>
      <c r="Q24" s="895"/>
      <c r="R24" s="895"/>
      <c r="S24" s="895"/>
      <c r="T24" s="895"/>
      <c r="U24" s="895"/>
      <c r="V24" s="895"/>
      <c r="W24" s="895"/>
      <c r="X24" s="895"/>
      <c r="Y24" s="895"/>
      <c r="Z24" s="895"/>
      <c r="AA24" s="895"/>
      <c r="AB24" s="895"/>
      <c r="AC24" s="895"/>
      <c r="AD24" s="895"/>
    </row>
    <row r="25" ht="15.75" customHeight="1" spans="1:34">
      <c r="C25" s="750" t="s">
        <v>85</v>
      </c>
      <c r="D25" s="895"/>
      <c r="E25" s="895"/>
      <c r="F25" s="895"/>
      <c r="G25" s="895"/>
      <c r="H25" s="895"/>
      <c r="I25" s="895"/>
      <c r="J25" s="895"/>
      <c r="K25" s="895"/>
      <c r="L25" s="895"/>
      <c r="M25" s="895"/>
      <c r="N25" s="895"/>
      <c r="O25" s="895"/>
      <c r="P25" s="895"/>
      <c r="Q25" s="895"/>
      <c r="R25" s="895"/>
      <c r="S25" s="895"/>
      <c r="T25" s="895"/>
      <c r="U25" s="895"/>
      <c r="V25" s="895"/>
      <c r="W25" s="895"/>
      <c r="X25" s="895"/>
      <c r="Y25" s="895" t="s">
        <v>86</v>
      </c>
      <c r="Z25" s="895"/>
      <c r="AA25" s="895"/>
      <c r="AB25" s="750"/>
      <c r="AC25" s="895"/>
    </row>
    <row r="26" ht="12" customHeight="1" spans="1:34">
      <c r="C26" s="895"/>
      <c r="D26" s="895"/>
      <c r="E26" s="895"/>
      <c r="F26" s="895"/>
      <c r="G26" s="895"/>
      <c r="H26" s="895"/>
      <c r="I26" s="895"/>
      <c r="J26" s="895"/>
      <c r="K26" s="895"/>
      <c r="L26" s="895"/>
      <c r="M26" s="895"/>
      <c r="N26" s="895"/>
      <c r="O26" s="895"/>
      <c r="P26" s="895"/>
      <c r="Q26" s="895"/>
      <c r="R26" s="895"/>
      <c r="S26" s="895"/>
      <c r="T26" s="895"/>
      <c r="U26" s="895"/>
      <c r="V26" s="895"/>
      <c r="W26" s="895"/>
      <c r="X26" s="895"/>
      <c r="Y26" s="896" t="s">
        <v>87</v>
      </c>
      <c r="Z26" s="896"/>
      <c r="AA26" s="896"/>
      <c r="AB26" s="896"/>
      <c r="AC26" s="895"/>
      <c r="AD26" s="895"/>
    </row>
    <row r="27" ht="15.75" spans="1:34">
      <c r="C27" s="895" t="s">
        <v>88</v>
      </c>
      <c r="D27" s="895"/>
      <c r="E27" s="895"/>
      <c r="F27" s="895"/>
      <c r="G27" s="895"/>
      <c r="H27" s="895"/>
      <c r="I27" s="895"/>
      <c r="J27" s="895"/>
      <c r="K27" s="895"/>
      <c r="L27" s="895"/>
      <c r="M27" s="895"/>
      <c r="N27" s="895"/>
      <c r="O27" s="895"/>
      <c r="P27" s="895"/>
      <c r="Q27" s="895"/>
      <c r="R27" s="895"/>
      <c r="S27" s="895"/>
      <c r="T27" s="895"/>
      <c r="U27" s="895"/>
      <c r="V27" s="895"/>
      <c r="W27" s="895"/>
      <c r="X27" s="895"/>
      <c r="Y27" s="895"/>
      <c r="Z27" s="895"/>
      <c r="AA27" s="895"/>
      <c r="AB27" s="895"/>
      <c r="AC27" s="895"/>
      <c r="AD27" s="895"/>
    </row>
    <row r="28" ht="15.75" spans="1:34">
      <c r="C28" s="750" t="s">
        <v>89</v>
      </c>
      <c r="D28" s="895"/>
      <c r="E28" s="895"/>
      <c r="F28" s="895"/>
      <c r="G28" s="895"/>
      <c r="H28" s="895"/>
      <c r="I28" s="895"/>
      <c r="J28" s="895"/>
      <c r="K28" s="895"/>
      <c r="L28" s="895"/>
      <c r="M28" s="895"/>
      <c r="N28" s="895"/>
      <c r="O28" s="895"/>
      <c r="P28" s="895"/>
      <c r="Q28" s="895"/>
      <c r="R28" s="895"/>
      <c r="S28" s="895"/>
      <c r="T28" s="895"/>
      <c r="U28" s="895"/>
      <c r="V28" s="895"/>
      <c r="W28" s="895"/>
      <c r="X28" s="895"/>
      <c r="Y28" s="895" t="s">
        <v>86</v>
      </c>
      <c r="Z28" s="895"/>
      <c r="AA28" s="895"/>
      <c r="AB28" s="750"/>
      <c r="AC28" s="895"/>
    </row>
    <row r="29" ht="15.75" spans="1:34">
      <c r="C29" s="895"/>
      <c r="D29" s="895"/>
      <c r="E29" s="895"/>
      <c r="F29" s="895"/>
      <c r="G29" s="895"/>
      <c r="H29" s="895"/>
      <c r="I29" s="895"/>
      <c r="J29" s="895"/>
      <c r="K29" s="895"/>
      <c r="L29" s="895"/>
      <c r="M29" s="895"/>
      <c r="N29" s="895"/>
      <c r="O29" s="895"/>
      <c r="P29" s="895"/>
      <c r="Q29" s="895"/>
      <c r="R29" s="895"/>
      <c r="S29" s="895"/>
      <c r="T29" s="895"/>
      <c r="U29" s="895"/>
      <c r="V29" s="895"/>
      <c r="W29" s="895"/>
      <c r="Y29" s="897" t="s">
        <v>87</v>
      </c>
      <c r="Z29" s="895"/>
      <c r="AA29" s="895"/>
      <c r="AB29" s="895"/>
      <c r="AC29" s="895"/>
      <c r="AD29" s="895"/>
    </row>
  </sheetData>
  <mergeCells count="27">
    <mergeCell ref="A4:F4"/>
    <mergeCell ref="A13:P13"/>
    <mergeCell ref="Q13:AD13"/>
    <mergeCell ref="D15:F15"/>
    <mergeCell ref="G15:J15"/>
    <mergeCell ref="K15:N15"/>
    <mergeCell ref="O15:P15"/>
    <mergeCell ref="Q15:S15"/>
    <mergeCell ref="V15:W15"/>
    <mergeCell ref="X15:Z15"/>
    <mergeCell ref="AC15:AD15"/>
    <mergeCell ref="L16:M16"/>
    <mergeCell ref="Q16:S16"/>
    <mergeCell ref="L17:M17"/>
    <mergeCell ref="Q17:S17"/>
    <mergeCell ref="L18:M18"/>
    <mergeCell ref="Q18:S18"/>
    <mergeCell ref="L19:M19"/>
    <mergeCell ref="Q19:S19"/>
    <mergeCell ref="L20:M20"/>
    <mergeCell ref="Q20:S20"/>
    <mergeCell ref="L21:M21"/>
    <mergeCell ref="Q21:S21"/>
    <mergeCell ref="L22:M22"/>
    <mergeCell ref="Q22:S22"/>
    <mergeCell ref="L23:M23"/>
    <mergeCell ref="N23:X23"/>
  </mergeCells>
  <dataValidations count="1">
    <dataValidation type="list" allowBlank="1" showInputMessage="1" showErrorMessage="1" sqref="X8">
      <formula1>Дт</formula1>
    </dataValidation>
  </dataValidations>
  <pageMargins left="0.33" right="0.196850393700787" top="0.748031496062992" bottom="0.748031496062992" header="0.31496062992126" footer="0.31496062992126"/>
  <pageSetup paperSize="9" scale="9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selection activeCell="C36" sqref="C36"/>
    </sheetView>
  </sheetViews>
  <sheetFormatPr defaultColWidth="7" defaultRowHeight="15.75"/>
  <cols>
    <col min="1" max="16384" width="7.85555555555556" style="535"/>
  </cols>
  <sheetData>
    <row r="1" ht="16.5" spans="1:22">
      <c r="D1" s="535" t="s">
        <v>13</v>
      </c>
    </row>
    <row r="2" spans="1:22">
      <c r="D2" s="724">
        <v>40</v>
      </c>
      <c r="E2" s="725">
        <v>50</v>
      </c>
      <c r="F2" s="725">
        <v>60</v>
      </c>
      <c r="G2" s="725">
        <v>70</v>
      </c>
      <c r="H2" s="725">
        <v>80</v>
      </c>
      <c r="I2" s="725">
        <v>90</v>
      </c>
      <c r="J2" s="725">
        <v>100</v>
      </c>
      <c r="K2" s="725">
        <v>110</v>
      </c>
      <c r="L2" s="725">
        <v>120</v>
      </c>
      <c r="M2" s="725">
        <v>130</v>
      </c>
      <c r="N2" s="725">
        <v>140</v>
      </c>
      <c r="O2" s="725">
        <v>150</v>
      </c>
      <c r="P2" s="725">
        <v>160</v>
      </c>
      <c r="Q2" s="725">
        <v>170</v>
      </c>
      <c r="R2" s="725">
        <v>180</v>
      </c>
      <c r="S2" s="725">
        <v>190</v>
      </c>
      <c r="T2" s="725">
        <v>200</v>
      </c>
      <c r="U2" s="725">
        <v>210</v>
      </c>
      <c r="V2" s="726">
        <v>220</v>
      </c>
    </row>
    <row r="3" spans="1:22">
      <c r="A3" s="727">
        <v>1.6</v>
      </c>
      <c r="B3" s="728">
        <v>4</v>
      </c>
      <c r="C3" s="729">
        <f>1.72*A$3/3.1415</f>
        <v>0.876014642686615</v>
      </c>
      <c r="D3" s="730">
        <f>(1.273-((1.72*A$3/3.1415)*(B3/$D$2)))*$D$2</f>
        <v>47.4159414292535</v>
      </c>
      <c r="E3" s="731">
        <f>(1.273-((1.72*$A3/3.1415)*($B3/$E$2)))*$E$2</f>
        <v>60.1459414292535</v>
      </c>
      <c r="F3" s="731">
        <f>(1.273-((1.72*$A3/3.1415)*($B3/$F$2)))*$F$2</f>
        <v>72.8759414292535</v>
      </c>
      <c r="G3" s="732">
        <f>(1.273-((1.72*$A3/3.1415)*($B3/$G$2)))*$G$2</f>
        <v>85.6059414292535</v>
      </c>
      <c r="H3" s="732">
        <f>(1.273-((1.72*$A3/3.1415)*($B3/$H$2)))*$H$2</f>
        <v>98.3359414292535</v>
      </c>
      <c r="I3" s="732">
        <f>(1.273-((1.72*$A3/3.1415)*($B3/$I$2)))*$I$2</f>
        <v>111.065941429254</v>
      </c>
      <c r="J3" s="732">
        <f>(1.273-((1.72*$A3/3.1415)*($B3/$J$2)))*$J$2</f>
        <v>123.795941429254</v>
      </c>
      <c r="K3" s="732">
        <f>(1.273-((1.72*$A3/3.1415)*($B3/$K$2)))*$K$2</f>
        <v>136.525941429254</v>
      </c>
      <c r="L3" s="732">
        <f>(1.273-((1.72*$A3/3.1415)*($B3/$L$2)))*$L$2</f>
        <v>149.255941429254</v>
      </c>
      <c r="M3" s="732">
        <f>(1.273-((1.72*$A3/3.1415)*($B3/$M$2)))*$M$2</f>
        <v>161.985941429254</v>
      </c>
      <c r="N3" s="732">
        <f>(1.273-((1.72*$A3/3.1415)*($B3/$N$2)))*$N$2</f>
        <v>174.715941429254</v>
      </c>
      <c r="O3" s="732">
        <f>(1.273-((1.72*$A3/3.1415)*($B3/$O$2)))*$O$2</f>
        <v>187.445941429254</v>
      </c>
      <c r="P3" s="732">
        <f>(1.273-((1.72*$A3/3.1415)*($B3/$P$2)))*$P$2</f>
        <v>200.175941429254</v>
      </c>
      <c r="Q3" s="732">
        <f>(1.273-((1.72*$A3/3.1415)*($B3/$Q$2)))*$Q$2</f>
        <v>212.905941429254</v>
      </c>
      <c r="R3" s="732">
        <f>(1.273-((1.72*$A3/3.1415)*($B3/$R$2)))*$R$2</f>
        <v>225.635941429254</v>
      </c>
      <c r="S3" s="732">
        <f>(1.273-((1.72*$A3/3.1415)*($B3/$S$2)))*$S$2</f>
        <v>238.365941429254</v>
      </c>
      <c r="T3" s="732">
        <f>(1.273-((1.72*$A3/3.1415)*($B3/$T$2)))*$T$2</f>
        <v>251.095941429254</v>
      </c>
      <c r="U3" s="732">
        <f>(1.273-((1.72*$A3/3.1415)*($B3/$U$2)))*$U$2</f>
        <v>263.825941429253</v>
      </c>
      <c r="V3" s="733">
        <f>(1.273-((1.72*$A3/3.1415)*($B3/$V$2)))*$V$2</f>
        <v>276.555941429253</v>
      </c>
    </row>
    <row r="4" spans="1:22">
      <c r="A4" s="535">
        <v>2</v>
      </c>
      <c r="B4" s="535">
        <v>5</v>
      </c>
      <c r="C4" s="535">
        <f t="shared" ref="C4:C5" si="0">1.72*A$3/3.1415</f>
        <v>0.876014642686615</v>
      </c>
      <c r="D4" s="734">
        <f>(1.273-((1.72*A$4/3.1415)*(B4/$D$2)))*$D$2</f>
        <v>45.4449084832087</v>
      </c>
      <c r="E4" s="732">
        <f t="shared" ref="E4:E13" si="1">(1.273-((1.72*$A4/3.1415)*($B4/$E$2)))*$E$2</f>
        <v>58.1749084832087</v>
      </c>
      <c r="F4" s="732">
        <f t="shared" ref="F4:F13" si="2">(1.273-((1.72*$A4/3.1415)*($B4/$F$2)))*$F$2</f>
        <v>70.9049084832087</v>
      </c>
      <c r="G4" s="731">
        <f t="shared" ref="G4:G13" si="3">(1.273-((1.72*$A4/3.1415)*($B4/$G$2)))*$G$2</f>
        <v>83.6349084832086</v>
      </c>
      <c r="H4" s="731">
        <f t="shared" ref="H4:H13" si="4">(1.273-((1.72*$A4/3.1415)*($B4/$H$2)))*$H$2</f>
        <v>96.3649084832086</v>
      </c>
      <c r="I4" s="731">
        <f t="shared" ref="I4:I13" si="5">(1.273-((1.72*$A4/3.1415)*($B4/$I$2)))*$I$2</f>
        <v>109.094908483209</v>
      </c>
      <c r="J4" s="731">
        <f t="shared" ref="J4:J13" si="6">(1.273-((1.72*$A4/3.1415)*($B4/$J$2)))*$J$2</f>
        <v>121.824908483209</v>
      </c>
      <c r="K4" s="732">
        <f t="shared" ref="K4:K13" si="7">(1.273-((1.72*$A4/3.1415)*($B4/$K$2)))*$K$2</f>
        <v>134.554908483209</v>
      </c>
      <c r="L4" s="732">
        <f t="shared" ref="L4:L13" si="8">(1.273-((1.72*$A4/3.1415)*($B4/$L$2)))*$L$2</f>
        <v>147.284908483209</v>
      </c>
      <c r="M4" s="732">
        <f t="shared" ref="M4:M13" si="9">(1.273-((1.72*$A4/3.1415)*($B4/$M$2)))*$M$2</f>
        <v>160.014908483209</v>
      </c>
      <c r="N4" s="732">
        <f t="shared" ref="N4:N13" si="10">(1.273-((1.72*$A4/3.1415)*($B4/$N$2)))*$N$2</f>
        <v>172.744908483209</v>
      </c>
      <c r="O4" s="732">
        <f t="shared" ref="O4:O13" si="11">(1.273-((1.72*$A4/3.1415)*($B4/$O$2)))*$O$2</f>
        <v>185.474908483209</v>
      </c>
      <c r="P4" s="732">
        <f t="shared" ref="P4:P13" si="12">(1.273-((1.72*$A4/3.1415)*($B4/$P$2)))*$P$2</f>
        <v>198.204908483209</v>
      </c>
      <c r="Q4" s="732">
        <f t="shared" ref="Q4:Q13" si="13">(1.273-((1.72*$A4/3.1415)*($B4/$Q$2)))*$Q$2</f>
        <v>210.934908483209</v>
      </c>
      <c r="R4" s="732">
        <f t="shared" ref="R4:R13" si="14">(1.273-((1.72*$A4/3.1415)*($B4/$R$2)))*$R$2</f>
        <v>223.664908483209</v>
      </c>
      <c r="S4" s="732">
        <f t="shared" ref="S4:S13" si="15">(1.273-((1.72*$A4/3.1415)*($B4/$S$2)))*$S$2</f>
        <v>236.394908483209</v>
      </c>
      <c r="T4" s="732">
        <f t="shared" ref="T4:T13" si="16">(1.273-((1.72*$A4/3.1415)*($B4/$T$2)))*$T$2</f>
        <v>249.124908483209</v>
      </c>
      <c r="U4" s="732">
        <f t="shared" ref="U4:U13" si="17">(1.273-((1.72*$A4/3.1415)*($B4/$U$2)))*$U$2</f>
        <v>261.854908483209</v>
      </c>
      <c r="V4" s="733">
        <f t="shared" ref="V4:V13" si="18">(1.273-((1.72*$A4/3.1415)*($B4/$V$2)))*$V$2</f>
        <v>274.584908483209</v>
      </c>
    </row>
    <row r="5" spans="1:22">
      <c r="A5" s="535">
        <v>2.4</v>
      </c>
      <c r="B5" s="535">
        <v>6</v>
      </c>
      <c r="C5" s="535">
        <f t="shared" si="0"/>
        <v>0.876014642686615</v>
      </c>
      <c r="D5" s="734">
        <f>(1.273-((1.72*A$5/3.1415)*(B5/$D$2)))*$D$2</f>
        <v>43.0358682158205</v>
      </c>
      <c r="E5" s="732">
        <f t="shared" si="1"/>
        <v>55.7658682158205</v>
      </c>
      <c r="F5" s="732">
        <f t="shared" si="2"/>
        <v>68.4958682158205</v>
      </c>
      <c r="G5" s="732">
        <f t="shared" si="3"/>
        <v>81.2258682158205</v>
      </c>
      <c r="H5" s="732">
        <f t="shared" si="4"/>
        <v>93.9558682158205</v>
      </c>
      <c r="I5" s="732">
        <f t="shared" si="5"/>
        <v>106.68586821582</v>
      </c>
      <c r="J5" s="732">
        <f t="shared" si="6"/>
        <v>119.41586821582</v>
      </c>
      <c r="K5" s="732">
        <f t="shared" si="7"/>
        <v>132.14586821582</v>
      </c>
      <c r="L5" s="732">
        <f t="shared" si="8"/>
        <v>144.87586821582</v>
      </c>
      <c r="M5" s="732">
        <f t="shared" si="9"/>
        <v>157.60586821582</v>
      </c>
      <c r="N5" s="732">
        <f t="shared" si="10"/>
        <v>170.33586821582</v>
      </c>
      <c r="O5" s="732">
        <f t="shared" si="11"/>
        <v>183.06586821582</v>
      </c>
      <c r="P5" s="732">
        <f t="shared" si="12"/>
        <v>195.79586821582</v>
      </c>
      <c r="Q5" s="732">
        <f t="shared" si="13"/>
        <v>208.52586821582</v>
      </c>
      <c r="R5" s="732">
        <f t="shared" si="14"/>
        <v>221.25586821582</v>
      </c>
      <c r="S5" s="732">
        <f t="shared" si="15"/>
        <v>233.98586821582</v>
      </c>
      <c r="T5" s="732">
        <f t="shared" si="16"/>
        <v>246.71586821582</v>
      </c>
      <c r="U5" s="732">
        <f t="shared" si="17"/>
        <v>259.44586821582</v>
      </c>
      <c r="V5" s="733">
        <f t="shared" si="18"/>
        <v>272.17586821582</v>
      </c>
    </row>
    <row r="6" spans="1:22">
      <c r="A6" s="727">
        <v>2</v>
      </c>
      <c r="B6" s="728">
        <v>7</v>
      </c>
      <c r="C6" s="729">
        <f>1.72*A$6/3.1415</f>
        <v>1.09501830335827</v>
      </c>
      <c r="D6" s="734">
        <f>(1.273-((1.72*A$6/3.1415)*(B6/$D$2)))*$D$2</f>
        <v>43.2548718764921</v>
      </c>
      <c r="E6" s="732">
        <f t="shared" si="1"/>
        <v>55.9848718764921</v>
      </c>
      <c r="F6" s="732">
        <f t="shared" si="2"/>
        <v>68.7148718764921</v>
      </c>
      <c r="G6" s="732">
        <f t="shared" si="3"/>
        <v>81.4448718764921</v>
      </c>
      <c r="H6" s="732">
        <f t="shared" si="4"/>
        <v>94.1748718764921</v>
      </c>
      <c r="I6" s="732">
        <f t="shared" si="5"/>
        <v>106.904871876492</v>
      </c>
      <c r="J6" s="732">
        <f t="shared" si="6"/>
        <v>119.634871876492</v>
      </c>
      <c r="K6" s="732">
        <f t="shared" si="7"/>
        <v>132.364871876492</v>
      </c>
      <c r="L6" s="732">
        <f t="shared" si="8"/>
        <v>145.094871876492</v>
      </c>
      <c r="M6" s="732">
        <f t="shared" si="9"/>
        <v>157.824871876492</v>
      </c>
      <c r="N6" s="732">
        <f t="shared" si="10"/>
        <v>170.554871876492</v>
      </c>
      <c r="O6" s="732">
        <f t="shared" si="11"/>
        <v>183.284871876492</v>
      </c>
      <c r="P6" s="732">
        <f t="shared" si="12"/>
        <v>196.014871876492</v>
      </c>
      <c r="Q6" s="732">
        <f t="shared" si="13"/>
        <v>208.744871876492</v>
      </c>
      <c r="R6" s="732">
        <f t="shared" si="14"/>
        <v>221.474871876492</v>
      </c>
      <c r="S6" s="732">
        <f t="shared" si="15"/>
        <v>234.204871876492</v>
      </c>
      <c r="T6" s="732">
        <f t="shared" si="16"/>
        <v>246.934871876492</v>
      </c>
      <c r="U6" s="732">
        <f t="shared" si="17"/>
        <v>259.664871876492</v>
      </c>
      <c r="V6" s="733">
        <f t="shared" si="18"/>
        <v>272.394871876492</v>
      </c>
    </row>
    <row r="7" spans="1:22">
      <c r="A7" s="535">
        <v>2.3</v>
      </c>
      <c r="B7" s="535">
        <v>8</v>
      </c>
      <c r="C7" s="535">
        <f t="shared" ref="C7:C9" si="19">1.72*A$6/3.1415</f>
        <v>1.09501830335827</v>
      </c>
      <c r="D7" s="734">
        <f>(1.273-((1.72*A$7/3.1415)*(B7/$D$2)))*$D$2</f>
        <v>40.8458316091039</v>
      </c>
      <c r="E7" s="732">
        <f t="shared" si="1"/>
        <v>53.5758316091039</v>
      </c>
      <c r="F7" s="732">
        <f t="shared" si="2"/>
        <v>66.3058316091039</v>
      </c>
      <c r="G7" s="732">
        <f t="shared" si="3"/>
        <v>79.0358316091039</v>
      </c>
      <c r="H7" s="732">
        <f t="shared" si="4"/>
        <v>91.7658316091039</v>
      </c>
      <c r="I7" s="732">
        <f t="shared" si="5"/>
        <v>104.495831609104</v>
      </c>
      <c r="J7" s="732">
        <f t="shared" si="6"/>
        <v>117.225831609104</v>
      </c>
      <c r="K7" s="732">
        <f t="shared" si="7"/>
        <v>129.955831609104</v>
      </c>
      <c r="L7" s="731">
        <f t="shared" si="8"/>
        <v>142.685831609104</v>
      </c>
      <c r="M7" s="731">
        <f t="shared" si="9"/>
        <v>155.415831609104</v>
      </c>
      <c r="N7" s="731">
        <f t="shared" si="10"/>
        <v>168.145831609104</v>
      </c>
      <c r="O7" s="731">
        <f t="shared" si="11"/>
        <v>180.875831609104</v>
      </c>
      <c r="P7" s="731">
        <f t="shared" si="12"/>
        <v>193.605831609104</v>
      </c>
      <c r="Q7" s="731">
        <f t="shared" si="13"/>
        <v>206.335831609104</v>
      </c>
      <c r="R7" s="731">
        <f t="shared" si="14"/>
        <v>219.065831609104</v>
      </c>
      <c r="S7" s="731">
        <f t="shared" si="15"/>
        <v>231.795831609104</v>
      </c>
      <c r="T7" s="731">
        <f t="shared" si="16"/>
        <v>244.525831609104</v>
      </c>
      <c r="U7" s="731">
        <f t="shared" si="17"/>
        <v>257.255831609104</v>
      </c>
      <c r="V7" s="735">
        <f t="shared" si="18"/>
        <v>269.985831609104</v>
      </c>
    </row>
    <row r="8" spans="1:22">
      <c r="A8" s="535">
        <v>2.6</v>
      </c>
      <c r="B8" s="535">
        <v>9</v>
      </c>
      <c r="C8" s="535">
        <f t="shared" si="19"/>
        <v>1.09501830335827</v>
      </c>
      <c r="D8" s="734">
        <f>(1.273-((1.72*A$8/3.1415)*(B8/$D$2)))*$D$2</f>
        <v>38.1082858507083</v>
      </c>
      <c r="E8" s="732">
        <f t="shared" si="1"/>
        <v>50.8382858507083</v>
      </c>
      <c r="F8" s="732">
        <f t="shared" si="2"/>
        <v>63.5682858507083</v>
      </c>
      <c r="G8" s="732">
        <f t="shared" si="3"/>
        <v>76.2982858507083</v>
      </c>
      <c r="H8" s="732">
        <f t="shared" si="4"/>
        <v>89.0282858507082</v>
      </c>
      <c r="I8" s="732">
        <f t="shared" si="5"/>
        <v>101.758285850708</v>
      </c>
      <c r="J8" s="732">
        <f t="shared" si="6"/>
        <v>114.488285850708</v>
      </c>
      <c r="K8" s="731">
        <f t="shared" si="7"/>
        <v>127.218285850708</v>
      </c>
      <c r="L8" s="732">
        <f t="shared" si="8"/>
        <v>139.948285850708</v>
      </c>
      <c r="M8" s="732">
        <f t="shared" si="9"/>
        <v>152.678285850708</v>
      </c>
      <c r="N8" s="732">
        <f t="shared" si="10"/>
        <v>165.408285850708</v>
      </c>
      <c r="O8" s="732">
        <f t="shared" si="11"/>
        <v>178.138285850708</v>
      </c>
      <c r="P8" s="732">
        <f t="shared" si="12"/>
        <v>190.868285850708</v>
      </c>
      <c r="Q8" s="732">
        <f t="shared" si="13"/>
        <v>203.598285850708</v>
      </c>
      <c r="R8" s="732">
        <f t="shared" si="14"/>
        <v>216.328285850708</v>
      </c>
      <c r="S8" s="732">
        <f t="shared" si="15"/>
        <v>229.058285850708</v>
      </c>
      <c r="T8" s="732">
        <f t="shared" si="16"/>
        <v>241.788285850708</v>
      </c>
      <c r="U8" s="732">
        <f t="shared" si="17"/>
        <v>254.518285850708</v>
      </c>
      <c r="V8" s="733">
        <f t="shared" si="18"/>
        <v>267.248285850708</v>
      </c>
    </row>
    <row r="9" spans="1:22">
      <c r="A9" s="535">
        <v>3</v>
      </c>
      <c r="B9" s="535">
        <v>10</v>
      </c>
      <c r="C9" s="535">
        <f t="shared" si="19"/>
        <v>1.09501830335827</v>
      </c>
      <c r="D9" s="734">
        <f>(1.273-((1.72*A$9/3.1415)*(B9/$D$2)))*$D$2</f>
        <v>34.494725449626</v>
      </c>
      <c r="E9" s="732">
        <f t="shared" si="1"/>
        <v>47.224725449626</v>
      </c>
      <c r="F9" s="732">
        <f t="shared" si="2"/>
        <v>59.954725449626</v>
      </c>
      <c r="G9" s="732">
        <f t="shared" si="3"/>
        <v>72.684725449626</v>
      </c>
      <c r="H9" s="732">
        <f t="shared" si="4"/>
        <v>85.414725449626</v>
      </c>
      <c r="I9" s="732">
        <f t="shared" si="5"/>
        <v>98.144725449626</v>
      </c>
      <c r="J9" s="732">
        <f t="shared" si="6"/>
        <v>110.874725449626</v>
      </c>
      <c r="K9" s="732">
        <f t="shared" si="7"/>
        <v>123.604725449626</v>
      </c>
      <c r="L9" s="732">
        <f t="shared" si="8"/>
        <v>136.334725449626</v>
      </c>
      <c r="M9" s="732">
        <f t="shared" si="9"/>
        <v>149.064725449626</v>
      </c>
      <c r="N9" s="732">
        <f t="shared" si="10"/>
        <v>161.794725449626</v>
      </c>
      <c r="O9" s="732">
        <f t="shared" si="11"/>
        <v>174.524725449626</v>
      </c>
      <c r="P9" s="732">
        <f t="shared" si="12"/>
        <v>187.254725449626</v>
      </c>
      <c r="Q9" s="732">
        <f t="shared" si="13"/>
        <v>199.984725449626</v>
      </c>
      <c r="R9" s="732">
        <f t="shared" si="14"/>
        <v>212.714725449626</v>
      </c>
      <c r="S9" s="732">
        <f t="shared" si="15"/>
        <v>225.444725449626</v>
      </c>
      <c r="T9" s="732">
        <f t="shared" si="16"/>
        <v>238.174725449626</v>
      </c>
      <c r="U9" s="732">
        <f t="shared" si="17"/>
        <v>250.904725449626</v>
      </c>
      <c r="V9" s="733">
        <f t="shared" si="18"/>
        <v>263.634725449626</v>
      </c>
    </row>
    <row r="10" spans="1:22">
      <c r="A10" s="727">
        <v>2.4</v>
      </c>
      <c r="B10" s="728">
        <v>11</v>
      </c>
      <c r="C10" s="729">
        <f>1.72*A$10/3.1415</f>
        <v>1.31402196402992</v>
      </c>
      <c r="D10" s="734">
        <f>(1.273-((1.72*A$10/3.1415)*(B10/$D$2)))*$D$2</f>
        <v>36.4657583956709</v>
      </c>
      <c r="E10" s="732">
        <f t="shared" si="1"/>
        <v>49.1957583956709</v>
      </c>
      <c r="F10" s="732">
        <f t="shared" si="2"/>
        <v>61.9257583956709</v>
      </c>
      <c r="G10" s="732">
        <f t="shared" si="3"/>
        <v>74.6557583956709</v>
      </c>
      <c r="H10" s="732">
        <f t="shared" si="4"/>
        <v>87.3857583956708</v>
      </c>
      <c r="I10" s="732">
        <f t="shared" si="5"/>
        <v>100.115758395671</v>
      </c>
      <c r="J10" s="732">
        <f t="shared" si="6"/>
        <v>112.845758395671</v>
      </c>
      <c r="K10" s="732">
        <f t="shared" si="7"/>
        <v>125.575758395671</v>
      </c>
      <c r="L10" s="732">
        <f t="shared" si="8"/>
        <v>138.305758395671</v>
      </c>
      <c r="M10" s="732">
        <f t="shared" si="9"/>
        <v>151.035758395671</v>
      </c>
      <c r="N10" s="732">
        <f t="shared" si="10"/>
        <v>163.765758395671</v>
      </c>
      <c r="O10" s="732">
        <f t="shared" si="11"/>
        <v>176.495758395671</v>
      </c>
      <c r="P10" s="732">
        <f t="shared" si="12"/>
        <v>189.225758395671</v>
      </c>
      <c r="Q10" s="732">
        <f t="shared" si="13"/>
        <v>201.955758395671</v>
      </c>
      <c r="R10" s="732">
        <f t="shared" si="14"/>
        <v>214.685758395671</v>
      </c>
      <c r="S10" s="732">
        <f t="shared" si="15"/>
        <v>227.415758395671</v>
      </c>
      <c r="T10" s="732">
        <f t="shared" si="16"/>
        <v>240.145758395671</v>
      </c>
      <c r="U10" s="732">
        <f t="shared" si="17"/>
        <v>252.875758395671</v>
      </c>
      <c r="V10" s="733">
        <f t="shared" si="18"/>
        <v>265.605758395671</v>
      </c>
    </row>
    <row r="11" spans="1:22">
      <c r="A11" s="535">
        <v>2.8</v>
      </c>
      <c r="B11" s="535">
        <v>12</v>
      </c>
      <c r="C11" s="535">
        <f t="shared" ref="C11:C13" si="20">1.72*A$10/3.1415</f>
        <v>1.31402196402992</v>
      </c>
      <c r="D11" s="734">
        <f>(1.273-((1.72*A$11/3.1415)*(B11/$D$2)))*$D$2</f>
        <v>32.5236925035811</v>
      </c>
      <c r="E11" s="732">
        <f t="shared" si="1"/>
        <v>45.2536925035811</v>
      </c>
      <c r="F11" s="732">
        <f t="shared" si="2"/>
        <v>57.9836925035811</v>
      </c>
      <c r="G11" s="732">
        <f t="shared" si="3"/>
        <v>70.7136925035811</v>
      </c>
      <c r="H11" s="732">
        <f t="shared" si="4"/>
        <v>83.4436925035811</v>
      </c>
      <c r="I11" s="732">
        <f t="shared" si="5"/>
        <v>96.1736925035811</v>
      </c>
      <c r="J11" s="732">
        <f t="shared" si="6"/>
        <v>108.903692503581</v>
      </c>
      <c r="K11" s="732">
        <f t="shared" si="7"/>
        <v>121.633692503581</v>
      </c>
      <c r="L11" s="732">
        <f t="shared" si="8"/>
        <v>134.363692503581</v>
      </c>
      <c r="M11" s="732">
        <f t="shared" si="9"/>
        <v>147.093692503581</v>
      </c>
      <c r="N11" s="732">
        <f t="shared" si="10"/>
        <v>159.823692503581</v>
      </c>
      <c r="O11" s="732">
        <f t="shared" si="11"/>
        <v>172.553692503581</v>
      </c>
      <c r="P11" s="732">
        <f t="shared" si="12"/>
        <v>185.283692503581</v>
      </c>
      <c r="Q11" s="732">
        <f t="shared" si="13"/>
        <v>198.013692503581</v>
      </c>
      <c r="R11" s="732">
        <f t="shared" si="14"/>
        <v>210.743692503581</v>
      </c>
      <c r="S11" s="732">
        <f t="shared" si="15"/>
        <v>223.473692503581</v>
      </c>
      <c r="T11" s="732">
        <f t="shared" si="16"/>
        <v>236.203692503581</v>
      </c>
      <c r="U11" s="732">
        <f t="shared" si="17"/>
        <v>248.933692503581</v>
      </c>
      <c r="V11" s="733">
        <f t="shared" si="18"/>
        <v>261.663692503581</v>
      </c>
    </row>
    <row r="12" spans="1:22">
      <c r="A12" s="535">
        <v>3.2</v>
      </c>
      <c r="B12" s="535">
        <v>13</v>
      </c>
      <c r="C12" s="535">
        <f t="shared" si="20"/>
        <v>1.31402196402992</v>
      </c>
      <c r="D12" s="734">
        <f>(1.273-((1.72*A$12/3.1415)*(B12/$D$2)))*$D$2</f>
        <v>28.143619290148</v>
      </c>
      <c r="E12" s="732">
        <f t="shared" si="1"/>
        <v>40.873619290148</v>
      </c>
      <c r="F12" s="732">
        <f t="shared" si="2"/>
        <v>53.603619290148</v>
      </c>
      <c r="G12" s="732">
        <f t="shared" si="3"/>
        <v>66.333619290148</v>
      </c>
      <c r="H12" s="732">
        <f t="shared" si="4"/>
        <v>79.063619290148</v>
      </c>
      <c r="I12" s="732">
        <f t="shared" si="5"/>
        <v>91.793619290148</v>
      </c>
      <c r="J12" s="732">
        <f t="shared" si="6"/>
        <v>104.523619290148</v>
      </c>
      <c r="K12" s="732">
        <f t="shared" si="7"/>
        <v>117.253619290148</v>
      </c>
      <c r="L12" s="732">
        <f t="shared" si="8"/>
        <v>129.983619290148</v>
      </c>
      <c r="M12" s="732">
        <f t="shared" si="9"/>
        <v>142.713619290148</v>
      </c>
      <c r="N12" s="732">
        <f t="shared" si="10"/>
        <v>155.443619290148</v>
      </c>
      <c r="O12" s="732">
        <f t="shared" si="11"/>
        <v>168.173619290148</v>
      </c>
      <c r="P12" s="732">
        <f t="shared" si="12"/>
        <v>180.903619290148</v>
      </c>
      <c r="Q12" s="732">
        <f t="shared" si="13"/>
        <v>193.633619290148</v>
      </c>
      <c r="R12" s="732">
        <f t="shared" si="14"/>
        <v>206.363619290148</v>
      </c>
      <c r="S12" s="732">
        <f t="shared" si="15"/>
        <v>219.093619290148</v>
      </c>
      <c r="T12" s="732">
        <f t="shared" si="16"/>
        <v>231.823619290148</v>
      </c>
      <c r="U12" s="732">
        <f t="shared" si="17"/>
        <v>244.553619290148</v>
      </c>
      <c r="V12" s="733">
        <f t="shared" si="18"/>
        <v>257.283619290148</v>
      </c>
    </row>
    <row r="13" ht="16.5" spans="1:22">
      <c r="A13" s="535">
        <v>3.6</v>
      </c>
      <c r="B13" s="535">
        <v>14</v>
      </c>
      <c r="C13" s="535">
        <f t="shared" si="20"/>
        <v>1.31402196402992</v>
      </c>
      <c r="D13" s="736">
        <f>(1.273-((1.72*A$13/3.1415)*(B13/$D$2)))*$D$2</f>
        <v>23.3255387553716</v>
      </c>
      <c r="E13" s="737">
        <f t="shared" si="1"/>
        <v>36.0555387553716</v>
      </c>
      <c r="F13" s="737">
        <f t="shared" si="2"/>
        <v>48.7855387553716</v>
      </c>
      <c r="G13" s="737">
        <f t="shared" si="3"/>
        <v>61.5155387553716</v>
      </c>
      <c r="H13" s="737">
        <f t="shared" si="4"/>
        <v>74.2455387553716</v>
      </c>
      <c r="I13" s="737">
        <f t="shared" si="5"/>
        <v>86.9755387553716</v>
      </c>
      <c r="J13" s="737">
        <f t="shared" si="6"/>
        <v>99.7055387553716</v>
      </c>
      <c r="K13" s="737">
        <f t="shared" si="7"/>
        <v>112.435538755372</v>
      </c>
      <c r="L13" s="737">
        <f t="shared" si="8"/>
        <v>125.165538755372</v>
      </c>
      <c r="M13" s="737">
        <f t="shared" si="9"/>
        <v>137.895538755372</v>
      </c>
      <c r="N13" s="737">
        <f t="shared" si="10"/>
        <v>150.625538755372</v>
      </c>
      <c r="O13" s="737">
        <f t="shared" si="11"/>
        <v>163.355538755372</v>
      </c>
      <c r="P13" s="737">
        <f t="shared" si="12"/>
        <v>176.085538755372</v>
      </c>
      <c r="Q13" s="737">
        <f t="shared" si="13"/>
        <v>188.815538755372</v>
      </c>
      <c r="R13" s="737">
        <f t="shared" si="14"/>
        <v>201.545538755372</v>
      </c>
      <c r="S13" s="737">
        <f t="shared" si="15"/>
        <v>214.275538755372</v>
      </c>
      <c r="T13" s="737">
        <f t="shared" si="16"/>
        <v>227.005538755372</v>
      </c>
      <c r="U13" s="737">
        <f t="shared" si="17"/>
        <v>239.735538755372</v>
      </c>
      <c r="V13" s="738">
        <f t="shared" si="18"/>
        <v>252.465538755372</v>
      </c>
    </row>
    <row r="14" ht="16.5" spans="1:22">
      <c r="D14" s="535" t="s">
        <v>90</v>
      </c>
    </row>
    <row r="15" ht="16.5" spans="1:22">
      <c r="D15" s="739">
        <v>40</v>
      </c>
      <c r="E15" s="740">
        <v>50</v>
      </c>
      <c r="F15" s="740">
        <v>60</v>
      </c>
      <c r="G15" s="740">
        <v>70</v>
      </c>
      <c r="H15" s="740">
        <v>80</v>
      </c>
      <c r="I15" s="740">
        <v>90</v>
      </c>
      <c r="J15" s="740">
        <v>100</v>
      </c>
      <c r="K15" s="740">
        <v>110</v>
      </c>
      <c r="L15" s="740">
        <v>120</v>
      </c>
      <c r="M15" s="740">
        <v>130</v>
      </c>
      <c r="N15" s="740">
        <v>140</v>
      </c>
      <c r="O15" s="740">
        <v>150</v>
      </c>
      <c r="P15" s="740">
        <v>160</v>
      </c>
      <c r="Q15" s="740">
        <v>170</v>
      </c>
      <c r="R15" s="740">
        <v>180</v>
      </c>
      <c r="S15" s="740">
        <v>190</v>
      </c>
      <c r="T15" s="740">
        <v>200</v>
      </c>
      <c r="U15" s="740">
        <v>210</v>
      </c>
      <c r="V15" s="741">
        <v>220</v>
      </c>
    </row>
    <row r="16" spans="1:22">
      <c r="A16" s="727">
        <v>1.6</v>
      </c>
      <c r="B16" s="728">
        <v>4</v>
      </c>
      <c r="C16" s="729">
        <f>1.72*A$3/3.1415</f>
        <v>0.876014642686615</v>
      </c>
      <c r="D16" s="742">
        <f>1.273-1.095*($B16/D$15)</f>
        <v>1.1635</v>
      </c>
      <c r="E16" s="743">
        <f>1.273-1.095*($B16/E$15)</f>
        <v>1.1854</v>
      </c>
      <c r="F16" s="743">
        <f>1.273-1.095*$B16/F$15</f>
        <v>1.2</v>
      </c>
      <c r="G16" s="744">
        <f>1.273-1.095*$B16/G$15</f>
        <v>1.21042857142857</v>
      </c>
      <c r="H16" s="744">
        <f>1.273-1.095*$B16/H$15</f>
        <v>1.21825</v>
      </c>
      <c r="I16" s="744">
        <f>1.273-1.095*$B16/I$15</f>
        <v>1.22433333333333</v>
      </c>
      <c r="J16" s="744">
        <f t="shared" ref="J16:V26" si="21">1.273-1.095*$B16/J$15</f>
        <v>1.2292</v>
      </c>
      <c r="K16" s="744">
        <f t="shared" si="21"/>
        <v>1.23318181818182</v>
      </c>
      <c r="L16" s="744">
        <f t="shared" si="21"/>
        <v>1.2365</v>
      </c>
      <c r="M16" s="744">
        <f t="shared" si="21"/>
        <v>1.23930769230769</v>
      </c>
      <c r="N16" s="744">
        <f t="shared" si="21"/>
        <v>1.24171428571429</v>
      </c>
      <c r="O16" s="744">
        <f t="shared" si="21"/>
        <v>1.2438</v>
      </c>
      <c r="P16" s="744">
        <f t="shared" si="21"/>
        <v>1.245625</v>
      </c>
      <c r="Q16" s="744">
        <f t="shared" si="21"/>
        <v>1.24723529411765</v>
      </c>
      <c r="R16" s="744">
        <f t="shared" si="21"/>
        <v>1.24866666666667</v>
      </c>
      <c r="S16" s="744">
        <f t="shared" si="21"/>
        <v>1.24994736842105</v>
      </c>
      <c r="T16" s="744">
        <f t="shared" si="21"/>
        <v>1.2511</v>
      </c>
      <c r="U16" s="744">
        <f t="shared" si="21"/>
        <v>1.25214285714286</v>
      </c>
      <c r="V16" s="745">
        <f t="shared" si="21"/>
        <v>1.25309090909091</v>
      </c>
    </row>
    <row r="17" spans="1:22">
      <c r="A17" s="535">
        <v>2</v>
      </c>
      <c r="B17" s="535">
        <v>5</v>
      </c>
      <c r="C17" s="535">
        <f t="shared" ref="C17:C18" si="22">1.72*A$3/3.1415</f>
        <v>0.876014642686615</v>
      </c>
      <c r="D17" s="734">
        <f t="shared" ref="D17:E19" si="23">1.273-1.095*$B17/D$15</f>
        <v>1.136125</v>
      </c>
      <c r="E17" s="732">
        <f t="shared" si="23"/>
        <v>1.1635</v>
      </c>
      <c r="F17" s="732">
        <f t="shared" ref="F17:I26" si="24">1.273-1.095*$B17/F$15</f>
        <v>1.18175</v>
      </c>
      <c r="G17" s="731">
        <f t="shared" si="24"/>
        <v>1.19478571428571</v>
      </c>
      <c r="H17" s="731">
        <f t="shared" si="24"/>
        <v>1.2045625</v>
      </c>
      <c r="I17" s="731">
        <f t="shared" si="24"/>
        <v>1.21216666666667</v>
      </c>
      <c r="J17" s="731">
        <f t="shared" si="21"/>
        <v>1.21825</v>
      </c>
      <c r="K17" s="732">
        <f t="shared" si="21"/>
        <v>1.22322727272727</v>
      </c>
      <c r="L17" s="732">
        <f t="shared" si="21"/>
        <v>1.227375</v>
      </c>
      <c r="M17" s="732">
        <f t="shared" si="21"/>
        <v>1.23088461538462</v>
      </c>
      <c r="N17" s="732">
        <f t="shared" si="21"/>
        <v>1.23389285714286</v>
      </c>
      <c r="O17" s="732">
        <f t="shared" si="21"/>
        <v>1.2365</v>
      </c>
      <c r="P17" s="732">
        <f t="shared" si="21"/>
        <v>1.23878125</v>
      </c>
      <c r="Q17" s="732">
        <f t="shared" si="21"/>
        <v>1.24079411764706</v>
      </c>
      <c r="R17" s="732">
        <f t="shared" si="21"/>
        <v>1.24258333333333</v>
      </c>
      <c r="S17" s="732">
        <f t="shared" si="21"/>
        <v>1.24418421052632</v>
      </c>
      <c r="T17" s="732">
        <f t="shared" si="21"/>
        <v>1.245625</v>
      </c>
      <c r="U17" s="732">
        <f t="shared" si="21"/>
        <v>1.24692857142857</v>
      </c>
      <c r="V17" s="733">
        <f t="shared" si="21"/>
        <v>1.24811363636364</v>
      </c>
    </row>
    <row r="18" spans="1:22">
      <c r="A18" s="535">
        <v>2.4</v>
      </c>
      <c r="B18" s="535">
        <v>6</v>
      </c>
      <c r="C18" s="535">
        <f t="shared" si="22"/>
        <v>0.876014642686615</v>
      </c>
      <c r="D18" s="734">
        <f t="shared" si="23"/>
        <v>1.10875</v>
      </c>
      <c r="E18" s="732">
        <f t="shared" si="23"/>
        <v>1.1416</v>
      </c>
      <c r="F18" s="732">
        <f t="shared" si="24"/>
        <v>1.1635</v>
      </c>
      <c r="G18" s="732">
        <f t="shared" si="24"/>
        <v>1.17914285714286</v>
      </c>
      <c r="H18" s="732">
        <f t="shared" si="24"/>
        <v>1.190875</v>
      </c>
      <c r="I18" s="732">
        <f t="shared" si="24"/>
        <v>1.2</v>
      </c>
      <c r="J18" s="732">
        <f t="shared" si="21"/>
        <v>1.2073</v>
      </c>
      <c r="K18" s="732">
        <f t="shared" si="21"/>
        <v>1.21327272727273</v>
      </c>
      <c r="L18" s="732">
        <f t="shared" si="21"/>
        <v>1.21825</v>
      </c>
      <c r="M18" s="732">
        <f t="shared" si="21"/>
        <v>1.22246153846154</v>
      </c>
      <c r="N18" s="732">
        <f t="shared" si="21"/>
        <v>1.22607142857143</v>
      </c>
      <c r="O18" s="732">
        <f t="shared" si="21"/>
        <v>1.2292</v>
      </c>
      <c r="P18" s="732">
        <f t="shared" si="21"/>
        <v>1.2319375</v>
      </c>
      <c r="Q18" s="732">
        <f t="shared" si="21"/>
        <v>1.23435294117647</v>
      </c>
      <c r="R18" s="732">
        <f t="shared" si="21"/>
        <v>1.2365</v>
      </c>
      <c r="S18" s="732">
        <f t="shared" si="21"/>
        <v>1.23842105263158</v>
      </c>
      <c r="T18" s="732">
        <f t="shared" si="21"/>
        <v>1.24015</v>
      </c>
      <c r="U18" s="732">
        <f t="shared" si="21"/>
        <v>1.24171428571429</v>
      </c>
      <c r="V18" s="733">
        <f t="shared" si="21"/>
        <v>1.24313636363636</v>
      </c>
    </row>
    <row r="19" spans="1:22">
      <c r="A19" s="727">
        <v>2</v>
      </c>
      <c r="B19" s="728">
        <v>7</v>
      </c>
      <c r="C19" s="729">
        <f>1.72*A$6/3.1415</f>
        <v>1.09501830335827</v>
      </c>
      <c r="D19" s="734">
        <f t="shared" si="23"/>
        <v>1.081375</v>
      </c>
      <c r="E19" s="732">
        <f t="shared" si="23"/>
        <v>1.1197</v>
      </c>
      <c r="F19" s="732">
        <f t="shared" si="24"/>
        <v>1.14525</v>
      </c>
      <c r="G19" s="732">
        <f t="shared" si="24"/>
        <v>1.1635</v>
      </c>
      <c r="H19" s="732">
        <f t="shared" si="24"/>
        <v>1.1771875</v>
      </c>
      <c r="I19" s="732">
        <f t="shared" si="24"/>
        <v>1.18783333333333</v>
      </c>
      <c r="J19" s="732">
        <f t="shared" si="21"/>
        <v>1.19635</v>
      </c>
      <c r="K19" s="732">
        <f t="shared" si="21"/>
        <v>1.20331818181818</v>
      </c>
      <c r="L19" s="732">
        <f t="shared" si="21"/>
        <v>1.209125</v>
      </c>
      <c r="M19" s="732">
        <f t="shared" si="21"/>
        <v>1.21403846153846</v>
      </c>
      <c r="N19" s="732">
        <f t="shared" si="21"/>
        <v>1.21825</v>
      </c>
      <c r="O19" s="732">
        <f t="shared" si="21"/>
        <v>1.2219</v>
      </c>
      <c r="P19" s="732">
        <f t="shared" si="21"/>
        <v>1.22509375</v>
      </c>
      <c r="Q19" s="732">
        <f t="shared" si="21"/>
        <v>1.22791176470588</v>
      </c>
      <c r="R19" s="732">
        <f t="shared" si="21"/>
        <v>1.23041666666667</v>
      </c>
      <c r="S19" s="732">
        <f t="shared" si="21"/>
        <v>1.23265789473684</v>
      </c>
      <c r="T19" s="732">
        <f t="shared" si="21"/>
        <v>1.234675</v>
      </c>
      <c r="U19" s="732">
        <f t="shared" si="21"/>
        <v>1.2365</v>
      </c>
      <c r="V19" s="733">
        <f t="shared" si="21"/>
        <v>1.23815909090909</v>
      </c>
    </row>
    <row r="20" spans="1:22">
      <c r="A20" s="535">
        <v>2.3</v>
      </c>
      <c r="B20" s="535">
        <v>8</v>
      </c>
      <c r="C20" s="535">
        <f t="shared" ref="C20:C22" si="25">1.72*A$6/3.1415</f>
        <v>1.09501830335827</v>
      </c>
      <c r="D20" s="734">
        <f t="shared" ref="D20:D26" si="26">1.273-1.095*$B20/D$15</f>
        <v>1.054</v>
      </c>
      <c r="E20" s="732">
        <f t="shared" ref="E20:E26" si="27">1.273-1.095*$B20/E$15</f>
        <v>1.0978</v>
      </c>
      <c r="F20" s="732">
        <f t="shared" si="24"/>
        <v>1.127</v>
      </c>
      <c r="G20" s="732">
        <f t="shared" si="24"/>
        <v>1.14785714285714</v>
      </c>
      <c r="H20" s="732">
        <f t="shared" si="24"/>
        <v>1.1635</v>
      </c>
      <c r="I20" s="732">
        <f t="shared" si="24"/>
        <v>1.17566666666667</v>
      </c>
      <c r="J20" s="732">
        <f t="shared" si="21"/>
        <v>1.1854</v>
      </c>
      <c r="K20" s="732">
        <f t="shared" si="21"/>
        <v>1.19336363636364</v>
      </c>
      <c r="L20" s="731">
        <f t="shared" si="21"/>
        <v>1.2</v>
      </c>
      <c r="M20" s="731">
        <f t="shared" si="21"/>
        <v>1.20561538461538</v>
      </c>
      <c r="N20" s="731">
        <f t="shared" si="21"/>
        <v>1.21042857142857</v>
      </c>
      <c r="O20" s="731">
        <f t="shared" si="21"/>
        <v>1.2146</v>
      </c>
      <c r="P20" s="731">
        <f t="shared" si="21"/>
        <v>1.21825</v>
      </c>
      <c r="Q20" s="731">
        <f t="shared" si="21"/>
        <v>1.22147058823529</v>
      </c>
      <c r="R20" s="731">
        <f t="shared" si="21"/>
        <v>1.22433333333333</v>
      </c>
      <c r="S20" s="731">
        <f t="shared" si="21"/>
        <v>1.22689473684211</v>
      </c>
      <c r="T20" s="731">
        <f t="shared" si="21"/>
        <v>1.2292</v>
      </c>
      <c r="U20" s="731">
        <f t="shared" si="21"/>
        <v>1.23128571428571</v>
      </c>
      <c r="V20" s="735">
        <f t="shared" si="21"/>
        <v>1.23318181818182</v>
      </c>
    </row>
    <row r="21" spans="1:22">
      <c r="A21" s="535">
        <v>2.6</v>
      </c>
      <c r="B21" s="535">
        <v>9</v>
      </c>
      <c r="C21" s="535">
        <f t="shared" si="25"/>
        <v>1.09501830335827</v>
      </c>
      <c r="D21" s="734">
        <f t="shared" si="26"/>
        <v>1.026625</v>
      </c>
      <c r="E21" s="732">
        <f t="shared" si="27"/>
        <v>1.0759</v>
      </c>
      <c r="F21" s="732">
        <f t="shared" si="24"/>
        <v>1.10875</v>
      </c>
      <c r="G21" s="732">
        <f t="shared" si="24"/>
        <v>1.13221428571429</v>
      </c>
      <c r="H21" s="732">
        <f t="shared" si="24"/>
        <v>1.1498125</v>
      </c>
      <c r="I21" s="732">
        <f t="shared" si="24"/>
        <v>1.1635</v>
      </c>
      <c r="J21" s="732">
        <f t="shared" si="21"/>
        <v>1.17445</v>
      </c>
      <c r="K21" s="731">
        <f t="shared" si="21"/>
        <v>1.18340909090909</v>
      </c>
      <c r="L21" s="732">
        <f t="shared" si="21"/>
        <v>1.190875</v>
      </c>
      <c r="M21" s="732">
        <f t="shared" si="21"/>
        <v>1.19719230769231</v>
      </c>
      <c r="N21" s="732">
        <f t="shared" si="21"/>
        <v>1.20260714285714</v>
      </c>
      <c r="O21" s="732">
        <f t="shared" si="21"/>
        <v>1.2073</v>
      </c>
      <c r="P21" s="732">
        <f t="shared" si="21"/>
        <v>1.21140625</v>
      </c>
      <c r="Q21" s="732">
        <f t="shared" si="21"/>
        <v>1.21502941176471</v>
      </c>
      <c r="R21" s="732">
        <f t="shared" si="21"/>
        <v>1.21825</v>
      </c>
      <c r="S21" s="732">
        <f t="shared" si="21"/>
        <v>1.22113157894737</v>
      </c>
      <c r="T21" s="732">
        <f t="shared" si="21"/>
        <v>1.223725</v>
      </c>
      <c r="U21" s="732">
        <f t="shared" si="21"/>
        <v>1.22607142857143</v>
      </c>
      <c r="V21" s="733">
        <f t="shared" si="21"/>
        <v>1.22820454545455</v>
      </c>
    </row>
    <row r="22" spans="1:22">
      <c r="A22" s="535">
        <v>3</v>
      </c>
      <c r="B22" s="535">
        <v>10</v>
      </c>
      <c r="C22" s="535">
        <f t="shared" si="25"/>
        <v>1.09501830335827</v>
      </c>
      <c r="D22" s="734">
        <f t="shared" si="26"/>
        <v>0.99925</v>
      </c>
      <c r="E22" s="732">
        <f t="shared" si="27"/>
        <v>1.054</v>
      </c>
      <c r="F22" s="732">
        <f t="shared" si="24"/>
        <v>1.0905</v>
      </c>
      <c r="G22" s="732">
        <f t="shared" si="24"/>
        <v>1.11657142857143</v>
      </c>
      <c r="H22" s="732">
        <f t="shared" si="24"/>
        <v>1.136125</v>
      </c>
      <c r="I22" s="732">
        <f t="shared" si="24"/>
        <v>1.15133333333333</v>
      </c>
      <c r="J22" s="732">
        <f t="shared" si="21"/>
        <v>1.1635</v>
      </c>
      <c r="K22" s="732">
        <f t="shared" si="21"/>
        <v>1.17345454545455</v>
      </c>
      <c r="L22" s="732">
        <f t="shared" si="21"/>
        <v>1.18175</v>
      </c>
      <c r="M22" s="732">
        <f t="shared" si="21"/>
        <v>1.18876923076923</v>
      </c>
      <c r="N22" s="732">
        <f t="shared" si="21"/>
        <v>1.19478571428571</v>
      </c>
      <c r="O22" s="732">
        <f t="shared" si="21"/>
        <v>1.2</v>
      </c>
      <c r="P22" s="732">
        <f t="shared" si="21"/>
        <v>1.2045625</v>
      </c>
      <c r="Q22" s="732">
        <f t="shared" si="21"/>
        <v>1.20858823529412</v>
      </c>
      <c r="R22" s="732">
        <f t="shared" si="21"/>
        <v>1.21216666666667</v>
      </c>
      <c r="S22" s="732">
        <f t="shared" si="21"/>
        <v>1.21536842105263</v>
      </c>
      <c r="T22" s="732">
        <f t="shared" si="21"/>
        <v>1.21825</v>
      </c>
      <c r="U22" s="732">
        <f t="shared" si="21"/>
        <v>1.22085714285714</v>
      </c>
      <c r="V22" s="733">
        <f t="shared" si="21"/>
        <v>1.22322727272727</v>
      </c>
    </row>
    <row r="23" spans="1:22">
      <c r="A23" s="727">
        <v>2.4</v>
      </c>
      <c r="B23" s="728">
        <v>11</v>
      </c>
      <c r="C23" s="729">
        <f>1.72*A$10/3.1415</f>
        <v>1.31402196402992</v>
      </c>
      <c r="D23" s="734">
        <f t="shared" si="26"/>
        <v>0.971875</v>
      </c>
      <c r="E23" s="732">
        <f t="shared" si="27"/>
        <v>1.0321</v>
      </c>
      <c r="F23" s="732">
        <f t="shared" si="24"/>
        <v>1.07225</v>
      </c>
      <c r="G23" s="732">
        <f t="shared" si="24"/>
        <v>1.10092857142857</v>
      </c>
      <c r="H23" s="732">
        <f t="shared" si="24"/>
        <v>1.1224375</v>
      </c>
      <c r="I23" s="732">
        <f t="shared" si="24"/>
        <v>1.13916666666667</v>
      </c>
      <c r="J23" s="732">
        <f t="shared" si="21"/>
        <v>1.15255</v>
      </c>
      <c r="K23" s="732">
        <f t="shared" si="21"/>
        <v>1.1635</v>
      </c>
      <c r="L23" s="732">
        <f t="shared" si="21"/>
        <v>1.172625</v>
      </c>
      <c r="M23" s="732">
        <f t="shared" si="21"/>
        <v>1.18034615384615</v>
      </c>
      <c r="N23" s="732">
        <f t="shared" si="21"/>
        <v>1.18696428571429</v>
      </c>
      <c r="O23" s="732">
        <f t="shared" si="21"/>
        <v>1.1927</v>
      </c>
      <c r="P23" s="732">
        <f t="shared" si="21"/>
        <v>1.19771875</v>
      </c>
      <c r="Q23" s="732">
        <f t="shared" si="21"/>
        <v>1.20214705882353</v>
      </c>
      <c r="R23" s="732">
        <f t="shared" si="21"/>
        <v>1.20608333333333</v>
      </c>
      <c r="S23" s="732">
        <f t="shared" si="21"/>
        <v>1.20960526315789</v>
      </c>
      <c r="T23" s="732">
        <f t="shared" si="21"/>
        <v>1.212775</v>
      </c>
      <c r="U23" s="732">
        <f t="shared" si="21"/>
        <v>1.21564285714286</v>
      </c>
      <c r="V23" s="733">
        <f t="shared" si="21"/>
        <v>1.21825</v>
      </c>
    </row>
    <row r="24" spans="1:22">
      <c r="A24" s="535">
        <v>2.8</v>
      </c>
      <c r="B24" s="535">
        <v>12</v>
      </c>
      <c r="C24" s="535">
        <f t="shared" ref="C24:C26" si="28">1.72*A$10/3.1415</f>
        <v>1.31402196402992</v>
      </c>
      <c r="D24" s="734">
        <f t="shared" si="26"/>
        <v>0.9445</v>
      </c>
      <c r="E24" s="732">
        <f t="shared" si="27"/>
        <v>1.0102</v>
      </c>
      <c r="F24" s="732">
        <f t="shared" si="24"/>
        <v>1.054</v>
      </c>
      <c r="G24" s="732">
        <f t="shared" si="24"/>
        <v>1.08528571428571</v>
      </c>
      <c r="H24" s="732">
        <f t="shared" si="24"/>
        <v>1.10875</v>
      </c>
      <c r="I24" s="732">
        <f t="shared" si="24"/>
        <v>1.127</v>
      </c>
      <c r="J24" s="732">
        <f t="shared" si="21"/>
        <v>1.1416</v>
      </c>
      <c r="K24" s="732">
        <f t="shared" si="21"/>
        <v>1.15354545454545</v>
      </c>
      <c r="L24" s="732">
        <f t="shared" si="21"/>
        <v>1.1635</v>
      </c>
      <c r="M24" s="732">
        <f t="shared" si="21"/>
        <v>1.17192307692308</v>
      </c>
      <c r="N24" s="732">
        <f t="shared" si="21"/>
        <v>1.17914285714286</v>
      </c>
      <c r="O24" s="732">
        <f t="shared" si="21"/>
        <v>1.1854</v>
      </c>
      <c r="P24" s="732">
        <f t="shared" si="21"/>
        <v>1.190875</v>
      </c>
      <c r="Q24" s="732">
        <f t="shared" si="21"/>
        <v>1.19570588235294</v>
      </c>
      <c r="R24" s="732">
        <f t="shared" si="21"/>
        <v>1.2</v>
      </c>
      <c r="S24" s="732">
        <f t="shared" si="21"/>
        <v>1.20384210526316</v>
      </c>
      <c r="T24" s="732">
        <f t="shared" si="21"/>
        <v>1.2073</v>
      </c>
      <c r="U24" s="732">
        <f t="shared" si="21"/>
        <v>1.21042857142857</v>
      </c>
      <c r="V24" s="733">
        <f t="shared" si="21"/>
        <v>1.21327272727273</v>
      </c>
    </row>
    <row r="25" spans="1:22">
      <c r="A25" s="535">
        <v>3.2</v>
      </c>
      <c r="B25" s="535">
        <v>13</v>
      </c>
      <c r="C25" s="535">
        <f t="shared" si="28"/>
        <v>1.31402196402992</v>
      </c>
      <c r="D25" s="734">
        <f t="shared" si="26"/>
        <v>0.917125</v>
      </c>
      <c r="E25" s="732">
        <f t="shared" si="27"/>
        <v>0.9883</v>
      </c>
      <c r="F25" s="732">
        <f t="shared" si="24"/>
        <v>1.03575</v>
      </c>
      <c r="G25" s="732">
        <f t="shared" si="24"/>
        <v>1.06964285714286</v>
      </c>
      <c r="H25" s="732">
        <f t="shared" si="24"/>
        <v>1.0950625</v>
      </c>
      <c r="I25" s="732">
        <f t="shared" si="24"/>
        <v>1.11483333333333</v>
      </c>
      <c r="J25" s="732">
        <f t="shared" si="21"/>
        <v>1.13065</v>
      </c>
      <c r="K25" s="732">
        <f t="shared" si="21"/>
        <v>1.14359090909091</v>
      </c>
      <c r="L25" s="732">
        <f t="shared" si="21"/>
        <v>1.154375</v>
      </c>
      <c r="M25" s="732">
        <f t="shared" si="21"/>
        <v>1.1635</v>
      </c>
      <c r="N25" s="732">
        <f t="shared" si="21"/>
        <v>1.17132142857143</v>
      </c>
      <c r="O25" s="732">
        <f t="shared" si="21"/>
        <v>1.1781</v>
      </c>
      <c r="P25" s="732">
        <f t="shared" si="21"/>
        <v>1.18403125</v>
      </c>
      <c r="Q25" s="732">
        <f t="shared" si="21"/>
        <v>1.18926470588235</v>
      </c>
      <c r="R25" s="732">
        <f t="shared" si="21"/>
        <v>1.19391666666667</v>
      </c>
      <c r="S25" s="732">
        <f t="shared" si="21"/>
        <v>1.19807894736842</v>
      </c>
      <c r="T25" s="732">
        <f t="shared" si="21"/>
        <v>1.201825</v>
      </c>
      <c r="U25" s="732">
        <f t="shared" si="21"/>
        <v>1.20521428571429</v>
      </c>
      <c r="V25" s="733">
        <f t="shared" si="21"/>
        <v>1.20829545454545</v>
      </c>
    </row>
    <row r="26" ht="16.5" spans="1:22">
      <c r="A26" s="535">
        <v>3.6</v>
      </c>
      <c r="B26" s="535">
        <v>14</v>
      </c>
      <c r="C26" s="535">
        <f t="shared" si="28"/>
        <v>1.31402196402992</v>
      </c>
      <c r="D26" s="736">
        <f t="shared" si="26"/>
        <v>0.88975</v>
      </c>
      <c r="E26" s="737">
        <f t="shared" si="27"/>
        <v>0.9664</v>
      </c>
      <c r="F26" s="737">
        <f t="shared" si="24"/>
        <v>1.0175</v>
      </c>
      <c r="G26" s="737">
        <f t="shared" si="24"/>
        <v>1.054</v>
      </c>
      <c r="H26" s="737">
        <f t="shared" si="24"/>
        <v>1.081375</v>
      </c>
      <c r="I26" s="737">
        <f t="shared" si="24"/>
        <v>1.10266666666667</v>
      </c>
      <c r="J26" s="737">
        <f t="shared" si="21"/>
        <v>1.1197</v>
      </c>
      <c r="K26" s="737">
        <f t="shared" si="21"/>
        <v>1.13363636363636</v>
      </c>
      <c r="L26" s="737">
        <f t="shared" si="21"/>
        <v>1.14525</v>
      </c>
      <c r="M26" s="737">
        <f t="shared" si="21"/>
        <v>1.15507692307692</v>
      </c>
      <c r="N26" s="737">
        <f t="shared" si="21"/>
        <v>1.1635</v>
      </c>
      <c r="O26" s="737">
        <f t="shared" si="21"/>
        <v>1.1708</v>
      </c>
      <c r="P26" s="737">
        <f t="shared" si="21"/>
        <v>1.1771875</v>
      </c>
      <c r="Q26" s="737">
        <f t="shared" si="21"/>
        <v>1.18282352941176</v>
      </c>
      <c r="R26" s="737">
        <f t="shared" si="21"/>
        <v>1.18783333333333</v>
      </c>
      <c r="S26" s="737">
        <f t="shared" si="21"/>
        <v>1.19231578947368</v>
      </c>
      <c r="T26" s="737">
        <f t="shared" si="21"/>
        <v>1.19635</v>
      </c>
      <c r="U26" s="737">
        <f t="shared" si="21"/>
        <v>1.2</v>
      </c>
      <c r="V26" s="738">
        <f t="shared" si="21"/>
        <v>1.20331818181818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0"/>
  <sheetViews>
    <sheetView workbookViewId="0">
      <selection activeCell="F44" sqref="F44"/>
    </sheetView>
  </sheetViews>
  <sheetFormatPr defaultColWidth="9" defaultRowHeight="12.75"/>
  <cols>
    <col min="2" max="2" width="14.5666666666667" customWidth="1"/>
    <col min="3" max="3" width="10.1444444444444" customWidth="1"/>
    <col min="4" max="4" width="9.56666666666667" customWidth="1"/>
    <col min="6" max="6" width="28.3333333333333" customWidth="1"/>
    <col min="7" max="7" width="9.56666666666667" customWidth="1"/>
    <col min="10" max="10" width="9.56666666666667" customWidth="1"/>
  </cols>
  <sheetData>
    <row r="1" spans="2:12">
      <c r="C1">
        <f>C5*I1</f>
        <v>12.8</v>
      </c>
      <c r="D1">
        <f>D5*I1</f>
        <v>19.2</v>
      </c>
      <c r="F1" s="182"/>
      <c r="G1" s="182">
        <f>'Карта настройки'!X6</f>
        <v>245.770546802272</v>
      </c>
      <c r="H1" s="182">
        <f>PI()*G1</f>
        <v>772.110944302765</v>
      </c>
      <c r="I1">
        <f>'Карта настройки'!O6</f>
        <v>8</v>
      </c>
      <c r="J1" s="708">
        <f>H1/H2</f>
        <v>1.19888071610865</v>
      </c>
    </row>
    <row r="2" spans="2:12">
      <c r="C2">
        <f>C10*I1</f>
        <v>16</v>
      </c>
      <c r="D2">
        <f>D10*I1</f>
        <v>24</v>
      </c>
      <c r="G2">
        <f>('Карта настройки'!K6+'Карта настройки'!M6)/2</f>
        <v>205</v>
      </c>
      <c r="H2" s="182">
        <f>G2*PI()</f>
        <v>644.026493985908</v>
      </c>
    </row>
    <row r="3" ht="13.5" spans="2:12">
      <c r="C3">
        <f>C15*I1</f>
        <v>19.2</v>
      </c>
      <c r="D3">
        <f>D15*I1</f>
        <v>28.8</v>
      </c>
      <c r="G3">
        <f>((4*G2)-1.72*D10*'Карта настройки'!O6)/(3.1415*G2)</f>
        <v>1.20917846453652</v>
      </c>
      <c r="H3">
        <f>(((4*G2)-1.72*C10*'Карта настройки'!O6)/(3.1415*G2))+I19</f>
        <v>1.25512085283052</v>
      </c>
    </row>
    <row r="4" ht="13.5" spans="2:12">
      <c r="B4" s="709" t="s">
        <v>91</v>
      </c>
      <c r="C4" s="710" t="s">
        <v>92</v>
      </c>
      <c r="D4" s="711" t="s">
        <v>93</v>
      </c>
      <c r="F4" s="712" t="s">
        <v>92</v>
      </c>
      <c r="G4" s="712" t="s">
        <v>94</v>
      </c>
    </row>
    <row r="5" spans="2:12">
      <c r="B5" s="713">
        <v>6</v>
      </c>
      <c r="C5" s="714">
        <v>1.6</v>
      </c>
      <c r="D5" s="715">
        <v>2.4</v>
      </c>
      <c r="F5" s="708">
        <f>IF('Карта настройки'!$O$6&lt;=Коэф!$B$5,C9,IF('Карта настройки'!$O$6&lt;=Коэф!$B$10,C14,C19))</f>
        <v>1.24590244842596</v>
      </c>
      <c r="G5" s="708">
        <f>IF('Карта настройки'!$O$6&lt;=Коэф!$B$5,D9,IF('Карта настройки'!$O$6&lt;=Коэф!$B$10,D14,D19))</f>
        <v>1.21985077057099</v>
      </c>
    </row>
    <row r="6" hidden="1" spans="2:12">
      <c r="B6" s="716"/>
      <c r="C6" s="182">
        <f>(2.35-0.007*(ATAN(0.5*(1/($I$1*(1/C1-1/Осн.таблица!$C$9))))*180/3.1415))*C1/1.72</f>
        <v>15.3226556685787</v>
      </c>
      <c r="D6" s="182">
        <f>(2.35-0.007*(ATAN(0.5*(1/($I$1*(1/D1-1/Осн.таблица!$C$9))))*180/3.1415))*D1/1.72</f>
        <v>21.9662374065081</v>
      </c>
      <c r="F6">
        <f>F5*L6/100</f>
        <v>1.24590244842596</v>
      </c>
      <c r="G6" t="s">
        <v>95</v>
      </c>
      <c r="I6" s="182">
        <f>Осн.таблица!I26</f>
        <v>762.151154913546</v>
      </c>
      <c r="J6" s="182">
        <f>Осн.таблица!I25</f>
        <v>9.95978938921917</v>
      </c>
      <c r="K6" s="182">
        <f>I6+J6</f>
        <v>772.110944302765</v>
      </c>
      <c r="L6">
        <f>100-K22</f>
        <v>100</v>
      </c>
    </row>
    <row r="7" hidden="1" spans="2:12">
      <c r="B7" s="716"/>
      <c r="C7" s="182">
        <f>(3*$I$1)*(SQRT(((1/(C5*$I$1))-(1/($G$1/2)))*$I$1))</f>
        <v>17.9583298011049</v>
      </c>
      <c r="D7" s="182">
        <f>(3*$I$1)*(SQRT(((1/(D5*$I$1))-(1/($G$1/2)))*$I$1))</f>
        <v>14.2303060137599</v>
      </c>
      <c r="I7" s="182"/>
      <c r="J7" s="182"/>
      <c r="K7" s="182"/>
    </row>
    <row r="8" hidden="1" spans="2:12">
      <c r="B8" s="716"/>
      <c r="C8" s="182">
        <f>((SQRT((1/C6-1/Осн.таблица!$C$9)*$I$1)*$I$1*3)+(2*($G$2+$G$2)-C6*1.72))</f>
        <v>809.936863454593</v>
      </c>
      <c r="D8" s="182">
        <f>((SQRT((1/D6-1/Осн.таблица!$C$9)*$I$1)*$I$1*3)+(2*($G$2+$G$2)-D6*1.72))</f>
        <v>795.426746333491</v>
      </c>
      <c r="I8" s="708">
        <f>I6/H2</f>
        <v>1.18341584085549</v>
      </c>
      <c r="J8" s="182"/>
      <c r="K8" s="182"/>
    </row>
    <row r="9" hidden="1" spans="2:12">
      <c r="B9" s="716"/>
      <c r="C9" s="708">
        <f>C8/H2</f>
        <v>1.25761419913311</v>
      </c>
      <c r="D9" s="708">
        <f>D8/H2</f>
        <v>1.23508388825832</v>
      </c>
      <c r="I9" s="182"/>
      <c r="J9" s="182"/>
      <c r="K9" s="182"/>
    </row>
    <row r="10" spans="2:12">
      <c r="B10" s="716">
        <v>10</v>
      </c>
      <c r="C10" s="717">
        <v>2</v>
      </c>
      <c r="D10" s="718">
        <v>3</v>
      </c>
      <c r="F10">
        <f>F5+F6</f>
        <v>2.49180489685191</v>
      </c>
      <c r="J10">
        <f>J6/(3.1415*G2)</f>
        <v>0.0154653313652701</v>
      </c>
      <c r="K10" s="182"/>
    </row>
    <row r="11" hidden="1" spans="2:12">
      <c r="B11" s="716"/>
      <c r="C11" s="182">
        <f>(2.35-0.007*(ATAN(0.5*(1/($I$1*(1/C2-1/Осн.таблица!$C$9))))*180/3.1415))*C2/1.72</f>
        <v>18.6868562207111</v>
      </c>
      <c r="D11" s="182">
        <f>(2.35-0.007*(ATAN(0.5*(1/($I$1*(1/D2-1/Осн.таблица!$C$9))))*180/3.1415))*D2/1.72</f>
        <v>26.788364506218</v>
      </c>
      <c r="F11">
        <f>F5+J10</f>
        <v>1.26136777979123</v>
      </c>
      <c r="I11">
        <f>4*G2-3.44*'Карта настройки'!O6</f>
        <v>792.48</v>
      </c>
    </row>
    <row r="12" hidden="1" spans="2:12">
      <c r="B12" s="719"/>
      <c r="C12" s="182">
        <f>(3*$I$1)*(SQRT(((1/(C10*$I$1))-(1/($G$1/2)))*$I$1))</f>
        <v>15.8272426292532</v>
      </c>
      <c r="D12" s="182">
        <f>(3*$I$1)*(SQRT(((1/(D10*$I$1))-(1/($G$1/2)))*$I$1))</f>
        <v>12.429867627825</v>
      </c>
    </row>
    <row r="13" hidden="1" spans="2:12">
      <c r="B13" s="719"/>
      <c r="C13" s="182">
        <f>((SQRT((1/C11-1/Осн.таблица!$C$9)*$I$1)*$I$1*3)+(2*($G$2+$G$2)-C11*1.72))</f>
        <v>802.394185708227</v>
      </c>
      <c r="D13" s="182">
        <f>((SQRT((1/D11-1/Осн.таблица!$C$9)*$I$1)*$I$1*3)+(2*($G$2+$G$2)-D11*1.72))</f>
        <v>785.616214956841</v>
      </c>
    </row>
    <row r="14" hidden="1" spans="2:12">
      <c r="B14" s="719"/>
      <c r="C14" s="708">
        <f>C13/H2</f>
        <v>1.24590244842596</v>
      </c>
      <c r="D14" s="708">
        <f>D13/H2</f>
        <v>1.21985077057099</v>
      </c>
    </row>
    <row r="15" ht="13.5" spans="2:12">
      <c r="B15" s="720">
        <v>10</v>
      </c>
      <c r="C15" s="721">
        <v>2.4</v>
      </c>
      <c r="D15" s="722">
        <v>3.6</v>
      </c>
      <c r="I15">
        <f>(4*G2-1.72*(C10*I1))/(3.1415*G2)+I19</f>
        <v>1.25512085283052</v>
      </c>
    </row>
    <row r="16" spans="2:12">
      <c r="C16" s="182">
        <f>(2.35-0.007*(ATAN(0.5*(1/($I$1*(1/C3-1/Осн.таблица!$C$9))))*180/3.1415))*C3/1.72</f>
        <v>21.9662374065081</v>
      </c>
      <c r="D16" s="182">
        <f>(2.35-0.007*(ATAN(0.5*(1/($I$1*(1/D3-1/Осн.таблица!$C$9))))*180/3.1415))*D3/1.72</f>
        <v>31.5437219143869</v>
      </c>
      <c r="G16">
        <f>1.273-1.095*('Карта настройки'!O6/Коэф!G2)</f>
        <v>1.23026829268293</v>
      </c>
    </row>
    <row r="17" spans="3:11">
      <c r="C17" s="182">
        <f>(3*$I$1)*(SQRT(((1/(C15*$I$1))-(1/($G$1/2)))*$I$1))</f>
        <v>14.2303060137599</v>
      </c>
      <c r="D17" s="182">
        <f>(3*$I$1)*(SQRT(((1/(D15*$I$1))-(1/($G$1/2)))*$I$1))</f>
        <v>11.0680445086407</v>
      </c>
    </row>
    <row r="18" spans="3:11">
      <c r="C18" s="182">
        <f>((SQRT((1/C16-1/Осн.таблица!$C$9)*$I$1)*$I$1*3)+(2*($G$2+$G$2)-C16*1.72))</f>
        <v>795.426746333491</v>
      </c>
      <c r="D18" s="182">
        <f>((SQRT((1/D16-1/Осн.таблица!$C$9)*$I$1)*$I$1*3)+(2*($G$2+$G$2)-D16*1.72))</f>
        <v>776.269795049489</v>
      </c>
    </row>
    <row r="19" spans="3:11">
      <c r="C19" s="708">
        <f>C18/H2</f>
        <v>1.23508388825832</v>
      </c>
      <c r="D19" s="708">
        <f>D18/H2</f>
        <v>1.20533829322009</v>
      </c>
      <c r="I19" s="723">
        <f>((3*I1)*(SQRT(((1/(C10*I1))-(1/(G1/2)))*I1))-I22)/(3.1415*G2)</f>
        <v>0.0245761774967733</v>
      </c>
      <c r="K19">
        <f>I6*100/I11</f>
        <v>96.1729198104111</v>
      </c>
    </row>
    <row r="22" spans="3:11">
      <c r="K22">
        <f>K1*100/J1</f>
        <v>0</v>
      </c>
    </row>
    <row r="24" spans="3:11">
      <c r="E24">
        <f>(3*I1)*(SQRT(((1/(C10*I1))-(1/(G1/2)))*I1))</f>
        <v>15.8272426292532</v>
      </c>
      <c r="G24">
        <f>(Осн.таблица!I26+Коэф!E24)/Коэф!H2</f>
        <v>1.20799129353803</v>
      </c>
    </row>
    <row r="25" spans="3:11">
      <c r="E25">
        <f>(3*I1)*(SQRT(((1/(D10*I1))-(1/(G1/2)))*I1))</f>
        <v>12.429867627825</v>
      </c>
      <c r="G25">
        <f>(Осн.таблица!I26+Коэф!E25)/Коэф!H2</f>
        <v>1.20271608353789</v>
      </c>
    </row>
    <row r="36" ht="13.5"/>
    <row r="37" ht="13.5" spans="6:8">
      <c r="F37" s="709" t="s">
        <v>91</v>
      </c>
      <c r="G37" s="710" t="s">
        <v>92</v>
      </c>
      <c r="H37" s="711" t="s">
        <v>93</v>
      </c>
    </row>
    <row r="38" spans="6:8">
      <c r="F38" s="713" t="s">
        <v>96</v>
      </c>
      <c r="G38" s="714">
        <v>1.6</v>
      </c>
      <c r="H38" s="715">
        <v>2.4</v>
      </c>
    </row>
    <row r="39" spans="6:8">
      <c r="F39" s="716" t="s">
        <v>97</v>
      </c>
      <c r="G39" s="717">
        <v>2</v>
      </c>
      <c r="H39" s="718">
        <v>3</v>
      </c>
    </row>
    <row r="40" ht="13.5" spans="6:8">
      <c r="F40" s="720" t="s">
        <v>98</v>
      </c>
      <c r="G40" s="721">
        <v>2.4</v>
      </c>
      <c r="H40" s="722">
        <v>3.6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zoomScale="160" zoomScaleNormal="160" topLeftCell="A3" workbookViewId="0">
      <selection activeCell="E42" sqref="E42"/>
    </sheetView>
  </sheetViews>
  <sheetFormatPr defaultColWidth="9" defaultRowHeight="15"/>
  <cols>
    <col min="1" max="1" width="6.42222222222222" style="536" customWidth="1"/>
    <col min="2" max="2" width="9.14444444444444" style="32"/>
    <col min="3" max="3" width="12.2888888888889" style="32" customWidth="1"/>
    <col min="4" max="5" width="10" style="32" customWidth="1"/>
    <col min="6" max="6" width="11.8555555555556" style="32" customWidth="1"/>
    <col min="7" max="7" width="10.5666666666667" style="32" customWidth="1"/>
    <col min="8" max="8" width="12.4222222222222" style="32" customWidth="1"/>
    <col min="9" max="9" width="11.5666666666667" style="32" customWidth="1"/>
    <col min="10" max="10" width="9.42222222222222" style="32" customWidth="1"/>
    <col min="11" max="16384" width="9.14444444444444" style="32"/>
  </cols>
  <sheetData>
    <row r="1" ht="15.75" spans="1:11">
      <c r="A1" s="536" t="s">
        <v>99</v>
      </c>
      <c r="E1" s="537">
        <f>'Карта настройки'!N18</f>
        <v>-6</v>
      </c>
      <c r="F1" s="538"/>
      <c r="G1" s="537">
        <f>'Карта настройки'!N20</f>
        <v>-6</v>
      </c>
      <c r="H1" s="538"/>
      <c r="I1" s="537">
        <f>'Карта настройки'!N22</f>
        <v>0</v>
      </c>
      <c r="J1" s="539">
        <f ca="1">NOW()</f>
        <v>46288.7444675926</v>
      </c>
    </row>
    <row r="2" ht="15.75" spans="1:11">
      <c r="A2" s="540">
        <f>'Карта настройки'!K6</f>
        <v>250</v>
      </c>
      <c r="B2" s="541" t="s">
        <v>100</v>
      </c>
      <c r="C2" s="542" t="s">
        <v>101</v>
      </c>
      <c r="D2" s="543" t="s">
        <v>102</v>
      </c>
      <c r="E2" s="544" t="s">
        <v>103</v>
      </c>
      <c r="F2" s="543" t="s">
        <v>104</v>
      </c>
      <c r="G2" s="544" t="s">
        <v>105</v>
      </c>
      <c r="H2" s="543" t="s">
        <v>106</v>
      </c>
      <c r="I2" s="544" t="s">
        <v>107</v>
      </c>
      <c r="J2" s="545" t="s">
        <v>108</v>
      </c>
    </row>
    <row r="3" ht="15.75" spans="1:11">
      <c r="A3" s="546">
        <f>C3/A7</f>
        <v>1.19888071610865</v>
      </c>
      <c r="B3" s="547" t="s">
        <v>109</v>
      </c>
      <c r="C3" s="548">
        <f>IF('Карта настройки'!X8=0,((SQRT((1/C7-1/C9)*A19)*A19*3)+(2*(A5+A6)-C7*1.72))/3.1415,'Карта настройки'!X8)</f>
        <v>245.770546802272</v>
      </c>
      <c r="D3" s="549">
        <f>'Карта настройки'!L17</f>
        <v>5</v>
      </c>
      <c r="E3" s="550">
        <f>IF(D5-D3-(E8-D8)&gt;=C3,C3-(D5-D3-(E8-D8)),E8-D8+E1)</f>
        <v>13</v>
      </c>
      <c r="F3" s="551">
        <f>'Карта настройки'!L19</f>
        <v>2</v>
      </c>
      <c r="G3" s="550">
        <f>G8-F8+G1</f>
        <v>6</v>
      </c>
      <c r="H3" s="551">
        <f>'Карта настройки'!L21</f>
        <v>1</v>
      </c>
      <c r="I3" s="550">
        <f>I8-H8+I1</f>
        <v>2</v>
      </c>
      <c r="J3" s="552">
        <f>C3-I5</f>
        <v>29</v>
      </c>
    </row>
    <row r="4" ht="15.75" spans="1:11">
      <c r="A4" s="546"/>
      <c r="B4" s="553" t="s">
        <v>110</v>
      </c>
      <c r="C4" s="554">
        <f>C3*PI()</f>
        <v>772.110944302765</v>
      </c>
      <c r="D4" s="555">
        <f t="shared" ref="D4:I4" si="0">D5-D7</f>
        <v>164.377344552251</v>
      </c>
      <c r="E4" s="556">
        <f t="shared" si="0"/>
        <v>193.45597175151</v>
      </c>
      <c r="F4" s="556">
        <f t="shared" si="0"/>
        <v>208.986503422195</v>
      </c>
      <c r="G4" s="556">
        <f t="shared" si="0"/>
        <v>213.096456221425</v>
      </c>
      <c r="H4" s="556">
        <f t="shared" si="0"/>
        <v>215.912820616632</v>
      </c>
      <c r="I4" s="557">
        <f t="shared" si="0"/>
        <v>216.750546802021</v>
      </c>
      <c r="J4" s="552"/>
    </row>
    <row r="5" spans="1:11">
      <c r="A5" s="558">
        <f>'Карта настройки'!K6</f>
        <v>250</v>
      </c>
      <c r="B5" s="559" t="s">
        <v>111</v>
      </c>
      <c r="C5" s="548"/>
      <c r="D5" s="560">
        <f>IF(D3&lt;=0,C3,C3-D3)</f>
        <v>240.770546802272</v>
      </c>
      <c r="E5" s="561">
        <f>IF(E3&lt;=0,C3,D5-E3)</f>
        <v>227.770546802272</v>
      </c>
      <c r="F5" s="561">
        <f>IF(E3&lt;=0,C3-F3,E5-F3)</f>
        <v>225.770546802272</v>
      </c>
      <c r="G5" s="561">
        <f>F5-G3</f>
        <v>219.770546802272</v>
      </c>
      <c r="H5" s="561">
        <f>G5-H3</f>
        <v>218.770546802272</v>
      </c>
      <c r="I5" s="562">
        <f>H5-I3</f>
        <v>216.770546802272</v>
      </c>
      <c r="J5" s="563">
        <f>C3-J3</f>
        <v>216.770546802272</v>
      </c>
      <c r="K5" s="564"/>
    </row>
    <row r="6" spans="1:11">
      <c r="A6" s="565">
        <f>'Карта настройки'!M6</f>
        <v>160</v>
      </c>
      <c r="B6" s="566" t="s">
        <v>112</v>
      </c>
      <c r="C6" s="567">
        <f>IF('Карта настройки'!X8=0,'Карта настройки'!K10,'Карта настройки'!K12)</f>
        <v>31</v>
      </c>
      <c r="D6" s="568">
        <f>'Карта настройки'!J17</f>
        <v>300</v>
      </c>
      <c r="E6" s="569">
        <f>'Карта настройки'!J18</f>
        <v>600</v>
      </c>
      <c r="F6" s="569">
        <f>'Карта настройки'!J19</f>
        <v>1200</v>
      </c>
      <c r="G6" s="569">
        <f>'Карта настройки'!J20</f>
        <v>3000</v>
      </c>
      <c r="H6" s="569">
        <f>'Карта настройки'!J21</f>
        <v>7000</v>
      </c>
      <c r="I6" s="570">
        <v>1000000</v>
      </c>
      <c r="J6" s="563"/>
      <c r="K6" s="564"/>
    </row>
    <row r="7" ht="15.75" spans="1:11">
      <c r="A7" s="571">
        <f>(A5+A6)/2</f>
        <v>205</v>
      </c>
      <c r="B7" s="572" t="s">
        <v>113</v>
      </c>
      <c r="C7" s="548">
        <f>IF('Карта настройки'!X8=0,(2.35-0.007*(ATAN(0.5*(1/(A19*(1/C6-1/C9))))*180/3.1415))*C6/1.72,'Карта настройки'!K12)</f>
        <v>33.709888335815</v>
      </c>
      <c r="D7" s="573">
        <f>D6-SQRT(D6^2-(($D$10^2)/4))</f>
        <v>76.393202250021</v>
      </c>
      <c r="E7" s="574">
        <f>E6-SQRT(E6^2-($E$10^2/4))</f>
        <v>34.314575050762</v>
      </c>
      <c r="F7" s="574">
        <f>F6-SQRT(F6^2-($F$10^2/4))</f>
        <v>16.7840433800768</v>
      </c>
      <c r="G7" s="574">
        <f>G6-SQRT(G6^2-($G$10^2/4))</f>
        <v>6.67409058084695</v>
      </c>
      <c r="H7" s="574">
        <f>H6-SQRT(H6^2-($H$10^2/4))</f>
        <v>2.85772618563988</v>
      </c>
      <c r="I7" s="575">
        <f>I6-SQRT(I6^2-($I$10^2/4))</f>
        <v>0.0200000002514571</v>
      </c>
      <c r="J7" s="576"/>
      <c r="K7" s="577"/>
    </row>
    <row r="8" spans="1:11">
      <c r="B8" s="572" t="s">
        <v>114</v>
      </c>
      <c r="C8" s="578">
        <f>I21</f>
        <v>33.709888335815</v>
      </c>
      <c r="D8" s="579">
        <f>'Карта настройки'!I17</f>
        <v>529</v>
      </c>
      <c r="E8" s="580">
        <f>'Карта настройки'!I18</f>
        <v>548</v>
      </c>
      <c r="F8" s="580">
        <f>'Карта настройки'!I19</f>
        <v>565</v>
      </c>
      <c r="G8" s="580">
        <f>'Карта настройки'!I20</f>
        <v>577</v>
      </c>
      <c r="H8" s="580">
        <f>'Карта настройки'!I21</f>
        <v>587</v>
      </c>
      <c r="I8" s="581">
        <f>'Карта настройки'!I22</f>
        <v>589</v>
      </c>
      <c r="J8" s="582"/>
      <c r="K8" s="577"/>
    </row>
    <row r="9" spans="1:11">
      <c r="A9" s="583">
        <f>'Карта настройки'!T18</f>
        <v>220</v>
      </c>
      <c r="B9" s="584" t="s">
        <v>115</v>
      </c>
      <c r="C9" s="548">
        <f>(A5+A6)/3.1415</f>
        <v>130.510902435142</v>
      </c>
      <c r="D9" s="585">
        <f t="shared" ref="D9:I9" si="1">D8+D7*2</f>
        <v>681.786404500042</v>
      </c>
      <c r="E9" s="586">
        <f t="shared" si="1"/>
        <v>616.629150101524</v>
      </c>
      <c r="F9" s="586">
        <f t="shared" si="1"/>
        <v>598.568086760154</v>
      </c>
      <c r="G9" s="586">
        <f t="shared" si="1"/>
        <v>590.348181161694</v>
      </c>
      <c r="H9" s="586">
        <f t="shared" si="1"/>
        <v>592.71545237128</v>
      </c>
      <c r="I9" s="587">
        <f t="shared" si="1"/>
        <v>589.040000000503</v>
      </c>
      <c r="J9" s="588" t="e">
        <f>ATAN(0.5*(1/(H21*(1/J8-1/J11))))*(180/3.1415)</f>
        <v>#DIV/0!</v>
      </c>
      <c r="K9" s="577"/>
    </row>
    <row r="10" ht="15.75" spans="1:11">
      <c r="A10" s="589">
        <f>'Карта настройки'!T20</f>
        <v>220</v>
      </c>
      <c r="B10" s="584" t="s">
        <v>116</v>
      </c>
      <c r="C10" s="548">
        <f>(C3-A19)*3.14159</f>
        <v>746.97757212855</v>
      </c>
      <c r="D10" s="590">
        <f>'Карта настройки'!G17</f>
        <v>400</v>
      </c>
      <c r="E10" s="591">
        <f>'Карта настройки'!G18</f>
        <v>400</v>
      </c>
      <c r="F10" s="591">
        <f>'Карта настройки'!G19</f>
        <v>400</v>
      </c>
      <c r="G10" s="591">
        <f>'Карта настройки'!G20</f>
        <v>400</v>
      </c>
      <c r="H10" s="591">
        <f>'Карта настройки'!G21</f>
        <v>400</v>
      </c>
      <c r="I10" s="592">
        <f>'Карта настройки'!G22</f>
        <v>400</v>
      </c>
      <c r="J10" s="576"/>
      <c r="K10" s="577"/>
    </row>
    <row r="11" ht="16.5" spans="1:11">
      <c r="A11" s="593">
        <f>'Карта настройки'!T22</f>
        <v>220</v>
      </c>
      <c r="B11" s="584" t="s">
        <v>117</v>
      </c>
      <c r="C11" s="548"/>
      <c r="D11" s="594">
        <f>$C$23-(774+20+250+D12/2)</f>
        <v>141</v>
      </c>
      <c r="E11" s="595">
        <f t="shared" ref="E11:I11" si="2">$C$23-(774+20+250+E12/2)</f>
        <v>141</v>
      </c>
      <c r="F11" s="595">
        <f t="shared" si="2"/>
        <v>141</v>
      </c>
      <c r="G11" s="595">
        <f t="shared" si="2"/>
        <v>141</v>
      </c>
      <c r="H11" s="595">
        <f t="shared" si="2"/>
        <v>141</v>
      </c>
      <c r="I11" s="596">
        <f t="shared" si="2"/>
        <v>141</v>
      </c>
      <c r="J11" s="597"/>
      <c r="K11" s="577"/>
    </row>
    <row r="12" ht="15.75" spans="1:11">
      <c r="A12" s="598" t="s">
        <v>118</v>
      </c>
      <c r="B12" s="572" t="s">
        <v>119</v>
      </c>
      <c r="C12" s="548"/>
      <c r="D12" s="599">
        <f>A9+80</f>
        <v>300</v>
      </c>
      <c r="E12" s="600">
        <f>A9+80</f>
        <v>300</v>
      </c>
      <c r="F12" s="600">
        <f>A10+80</f>
        <v>300</v>
      </c>
      <c r="G12" s="600">
        <f>A10+80</f>
        <v>300</v>
      </c>
      <c r="H12" s="600">
        <f>A11+80</f>
        <v>300</v>
      </c>
      <c r="I12" s="601">
        <f>A11+80</f>
        <v>300</v>
      </c>
      <c r="J12" s="597"/>
      <c r="K12" s="577"/>
    </row>
    <row r="13" ht="15.75" spans="1:11">
      <c r="A13" s="602">
        <f>'Карта настройки'!X17</f>
        <v>105</v>
      </c>
      <c r="B13" s="572" t="s">
        <v>120</v>
      </c>
      <c r="C13" s="603">
        <f>C6/A19</f>
        <v>3.875</v>
      </c>
      <c r="D13" s="604">
        <f t="shared" ref="D13:I13" si="3">D5+D8</f>
        <v>769.770546802272</v>
      </c>
      <c r="E13" s="605">
        <f t="shared" si="3"/>
        <v>775.770546802272</v>
      </c>
      <c r="F13" s="605">
        <f t="shared" si="3"/>
        <v>790.770546802272</v>
      </c>
      <c r="G13" s="605">
        <f t="shared" si="3"/>
        <v>796.770546802272</v>
      </c>
      <c r="H13" s="605">
        <f t="shared" si="3"/>
        <v>805.770546802272</v>
      </c>
      <c r="I13" s="606">
        <f t="shared" si="3"/>
        <v>805.770546802272</v>
      </c>
      <c r="J13" s="607"/>
      <c r="K13" s="577"/>
    </row>
    <row r="14" spans="1:11">
      <c r="A14" s="608">
        <f>'Карта настройки'!X18</f>
        <v>115</v>
      </c>
      <c r="B14" s="572" t="s">
        <v>121</v>
      </c>
      <c r="C14" s="603">
        <f>C7/A19</f>
        <v>4.21373604197688</v>
      </c>
      <c r="D14" s="609">
        <f>'Карта настройки'!AD17</f>
        <v>-5</v>
      </c>
      <c r="E14" s="610">
        <f>'Карта настройки'!AD18</f>
        <v>7</v>
      </c>
      <c r="F14" s="610">
        <f>'Карта настройки'!AD19</f>
        <v>9</v>
      </c>
      <c r="G14" s="610">
        <f>'Карта настройки'!AD20</f>
        <v>8</v>
      </c>
      <c r="H14" s="610">
        <f>'Карта настройки'!AD21</f>
        <v>7</v>
      </c>
      <c r="I14" s="611">
        <f>'Карта настройки'!AD22</f>
        <v>3</v>
      </c>
      <c r="J14" s="563">
        <f>C3-I15</f>
        <v>29</v>
      </c>
      <c r="K14" s="577"/>
    </row>
    <row r="15" ht="15.75" spans="1:11">
      <c r="A15" s="608">
        <f>'Карта настройки'!X19</f>
        <v>125</v>
      </c>
      <c r="B15" s="572" t="s">
        <v>122</v>
      </c>
      <c r="C15" s="612">
        <f>C8/A19</f>
        <v>4.21373604197688</v>
      </c>
      <c r="D15" s="613">
        <f>IF(D3&lt;=0,C3,C3-(D14))</f>
        <v>250.770546802272</v>
      </c>
      <c r="E15" s="614">
        <f>IF(E3&lt;=0,C3,D15-E14)</f>
        <v>243.770546802272</v>
      </c>
      <c r="F15" s="614">
        <f>IF(F3&lt;=0,$C$3,IF(E3&lt;=0,(C3-F5)+E15,E15-F14))</f>
        <v>234.770546802272</v>
      </c>
      <c r="G15" s="614">
        <f>F15-G14</f>
        <v>226.770546802272</v>
      </c>
      <c r="H15" s="614">
        <f>G15-H14</f>
        <v>219.770546802272</v>
      </c>
      <c r="I15" s="615">
        <f>H15-I14</f>
        <v>216.770546802272</v>
      </c>
      <c r="J15" s="616">
        <f>I15</f>
        <v>216.770546802272</v>
      </c>
      <c r="K15" s="577"/>
    </row>
    <row r="16" spans="1:11">
      <c r="A16" s="608">
        <f>'Карта настройки'!X20</f>
        <v>125</v>
      </c>
      <c r="B16" s="572" t="s">
        <v>123</v>
      </c>
      <c r="C16" s="617"/>
      <c r="D16" s="618">
        <f>'Карта настройки'!Y17</f>
        <v>300</v>
      </c>
      <c r="E16" s="619">
        <f>'Карта настройки'!Y18</f>
        <v>600</v>
      </c>
      <c r="F16" s="619">
        <f>'Карта настройки'!Y19</f>
        <v>600</v>
      </c>
      <c r="G16" s="619">
        <f>'Карта настройки'!Y20</f>
        <v>1500</v>
      </c>
      <c r="H16" s="619">
        <f>'Карта настройки'!Y21</f>
        <v>1500</v>
      </c>
      <c r="I16" s="620">
        <v>1000000</v>
      </c>
      <c r="J16" s="621"/>
      <c r="K16" s="622"/>
    </row>
    <row r="17" ht="15.75" spans="1:11">
      <c r="A17" s="608">
        <f>'Карта настройки'!X21</f>
        <v>135</v>
      </c>
      <c r="B17" s="572" t="s">
        <v>124</v>
      </c>
      <c r="C17" s="617">
        <f>'Карта настройки'!X10</f>
        <v>5</v>
      </c>
      <c r="D17" s="573">
        <f>(D16-SQRT(D16^2-(A13^2)/4))*2</f>
        <v>9.25893997454352</v>
      </c>
      <c r="E17" s="574">
        <f>(E16-SQRT(E16^2-(A14^2)/4))*2</f>
        <v>5.52312705519489</v>
      </c>
      <c r="F17" s="574">
        <f>(F16-SQRT(F16^2-(A15^2)/4))*2</f>
        <v>6.52817377199904</v>
      </c>
      <c r="G17" s="574">
        <f>(G16-SQRT(G16^2-(A16^2)/4))*2</f>
        <v>2.60529792955049</v>
      </c>
      <c r="H17" s="574">
        <f>(H16-SQRT(H16^2-(A17^2)/4))*2</f>
        <v>3.03903929330454</v>
      </c>
      <c r="I17" s="575">
        <f>(I16-SQRT(I16^2-(A18^2)/4))*2</f>
        <v>0.00525625003501773</v>
      </c>
      <c r="J17" s="576"/>
      <c r="K17" s="622"/>
    </row>
    <row r="18" ht="16.5" spans="1:11">
      <c r="A18" s="623">
        <f>'Карта настройки'!X22</f>
        <v>145</v>
      </c>
      <c r="B18" s="572" t="s">
        <v>125</v>
      </c>
      <c r="C18" s="624">
        <f>POWER((C3-A19)/(2*C7-A19),1/C17)</f>
        <v>1.31960942360212</v>
      </c>
      <c r="D18" s="625">
        <f>'Карта настройки'!U17</f>
        <v>410</v>
      </c>
      <c r="E18" s="626">
        <f>'Карта настройки'!U18</f>
        <v>410</v>
      </c>
      <c r="F18" s="627">
        <f>'Карта настройки'!U19</f>
        <v>410</v>
      </c>
      <c r="G18" s="627">
        <f>'Карта настройки'!U20</f>
        <v>410</v>
      </c>
      <c r="H18" s="627">
        <f>'Карта настройки'!U21</f>
        <v>410</v>
      </c>
      <c r="I18" s="628">
        <f>'Карта настройки'!U22</f>
        <v>455</v>
      </c>
      <c r="J18" s="629"/>
      <c r="K18" s="622"/>
    </row>
    <row r="19" ht="16.5" spans="1:11">
      <c r="A19" s="630">
        <f>'Карта настройки'!O6</f>
        <v>8</v>
      </c>
      <c r="B19" s="572" t="s">
        <v>126</v>
      </c>
      <c r="C19" s="624">
        <f>C3/2</f>
        <v>122.885273401136</v>
      </c>
      <c r="D19" s="631">
        <f>D17*2+D18</f>
        <v>428.517879949087</v>
      </c>
      <c r="E19" s="631">
        <f>E18+E17*2</f>
        <v>421.04625411039</v>
      </c>
      <c r="F19" s="632">
        <f>F18+F17*2</f>
        <v>423.056347543998</v>
      </c>
      <c r="G19" s="632">
        <f>G18+G17*2</f>
        <v>415.210595859101</v>
      </c>
      <c r="H19" s="632">
        <f>H18+H17*2</f>
        <v>416.078078586609</v>
      </c>
      <c r="I19" s="632">
        <f>I18+I17*2</f>
        <v>455.01051250007</v>
      </c>
      <c r="J19" s="576"/>
      <c r="K19" s="633"/>
    </row>
    <row r="20" ht="15.75" spans="1:11">
      <c r="A20" s="634">
        <v>200</v>
      </c>
      <c r="B20" s="635" t="s">
        <v>127</v>
      </c>
      <c r="C20" s="636">
        <f>(C3-A19)/2</f>
        <v>118.885273401136</v>
      </c>
      <c r="D20" s="637">
        <f t="shared" ref="D20:I20" si="4">D18+D15</f>
        <v>660.770546802272</v>
      </c>
      <c r="E20" s="638">
        <f t="shared" si="4"/>
        <v>653.770546802272</v>
      </c>
      <c r="F20" s="638">
        <f t="shared" si="4"/>
        <v>644.770546802272</v>
      </c>
      <c r="G20" s="638">
        <f t="shared" si="4"/>
        <v>636.770546802272</v>
      </c>
      <c r="H20" s="638">
        <f t="shared" si="4"/>
        <v>629.770546802272</v>
      </c>
      <c r="I20" s="639">
        <f t="shared" si="4"/>
        <v>671.770546802272</v>
      </c>
      <c r="J20" s="582"/>
      <c r="K20" s="622"/>
    </row>
    <row r="21" spans="1:11">
      <c r="A21" s="640" t="s">
        <v>128</v>
      </c>
      <c r="B21" s="641" t="s">
        <v>129</v>
      </c>
      <c r="C21" s="617"/>
      <c r="D21" s="642">
        <f>IF(D3&lt;=0,C19,C19-D3/2)</f>
        <v>120.385273401136</v>
      </c>
      <c r="E21" s="643">
        <f>($C$20/$C$18)+($A$19/2)</f>
        <v>94.0912582729341</v>
      </c>
      <c r="F21" s="643">
        <f>IF(F3&lt;=0,C19,IF(E3&lt;=0,C19-F3/2,(E21-$A$19/2)/$C$18+$A$19/2))</f>
        <v>72.2711540714929</v>
      </c>
      <c r="G21" s="561">
        <f>((F21-$A$19/2)/$C$18)+$A$19/2</f>
        <v>55.7358794582826</v>
      </c>
      <c r="H21" s="561">
        <f>(G21-A19/2)/C18+A19/2</f>
        <v>43.2054486221081</v>
      </c>
      <c r="I21" s="561">
        <f>(H21-A19/2)/C18+A19/2</f>
        <v>33.709888335815</v>
      </c>
      <c r="J21" s="621"/>
      <c r="K21" s="622"/>
    </row>
    <row r="22" ht="15.75" spans="1:11">
      <c r="A22" s="598">
        <v>1650</v>
      </c>
      <c r="B22" s="641" t="s">
        <v>130</v>
      </c>
      <c r="C22" s="548">
        <v>1250</v>
      </c>
      <c r="D22" s="560">
        <f>D13</f>
        <v>769.770546802272</v>
      </c>
      <c r="E22" s="561">
        <f>E8+E5</f>
        <v>775.770546802272</v>
      </c>
      <c r="F22" s="561">
        <f>F8+F5</f>
        <v>790.770546802272</v>
      </c>
      <c r="G22" s="561">
        <f>G8+G5</f>
        <v>796.770546802272</v>
      </c>
      <c r="H22" s="561">
        <f>H8+H5</f>
        <v>805.770546802272</v>
      </c>
      <c r="I22" s="562">
        <f>I8+I5</f>
        <v>805.770546802272</v>
      </c>
      <c r="J22" s="621"/>
      <c r="K22" s="622"/>
    </row>
    <row r="23" spans="1:11">
      <c r="A23" s="640" t="s">
        <v>131</v>
      </c>
      <c r="B23" s="641" t="s">
        <v>132</v>
      </c>
      <c r="C23" s="548">
        <f>C22+5+(A6/2)</f>
        <v>1335</v>
      </c>
      <c r="D23" s="560"/>
      <c r="E23" s="561">
        <f>DEGREES(ASIN(((($C$23+E22/2)-(1235+$A$24))/$A$22)))</f>
        <v>4.79361718435817</v>
      </c>
      <c r="F23" s="561">
        <f t="shared" ref="F23:I23" si="5">DEGREES(ASIN(((($C$23+F22/2)-(1235+$A$24))/$A$22)))</f>
        <v>5.05501761267671</v>
      </c>
      <c r="G23" s="561">
        <f t="shared" si="5"/>
        <v>5.15960702175904</v>
      </c>
      <c r="H23" s="561">
        <f t="shared" si="5"/>
        <v>5.31652357635561</v>
      </c>
      <c r="I23" s="562">
        <f t="shared" si="5"/>
        <v>5.31652357635561</v>
      </c>
      <c r="J23" s="621"/>
      <c r="K23" s="644"/>
    </row>
    <row r="24" ht="16.5" customHeight="1" spans="1:11">
      <c r="A24" s="546">
        <v>350</v>
      </c>
      <c r="B24" s="645" t="s">
        <v>133</v>
      </c>
      <c r="C24" s="646"/>
      <c r="D24" s="573"/>
      <c r="E24" s="574">
        <f>DEGREES(ASIN((1235-($C$23-E22/2))/$A$22))</f>
        <v>10.0481615321818</v>
      </c>
      <c r="F24" s="574">
        <f t="shared" ref="F24:I24" si="6">DEGREES(ASIN((1235-($C$23-F22/2))/$A$22))</f>
        <v>10.3127630278669</v>
      </c>
      <c r="G24" s="574">
        <f t="shared" si="6"/>
        <v>10.4186655893967</v>
      </c>
      <c r="H24" s="574">
        <f t="shared" si="6"/>
        <v>10.5775870641292</v>
      </c>
      <c r="I24" s="575">
        <f t="shared" si="6"/>
        <v>10.5775870641292</v>
      </c>
      <c r="J24" s="588"/>
      <c r="K24" s="622"/>
    </row>
    <row r="25" spans="1:11">
      <c r="A25" s="647" t="s">
        <v>134</v>
      </c>
      <c r="B25" s="572" t="s">
        <v>135</v>
      </c>
      <c r="C25" s="648"/>
      <c r="D25" s="649">
        <f>(3*$A$19)*(SQRT(((1/D21)-(1/($C$3/2)))*$A$19))</f>
        <v>0.882449045754583</v>
      </c>
      <c r="E25" s="649">
        <f>(3*$A$19)*(SQRT(((1/E21)-(1/($C$3/2)))*$A$19))</f>
        <v>3.38752720161225</v>
      </c>
      <c r="F25" s="649">
        <f t="shared" ref="F25:I25" si="7">(3*$A$19)*(SQRT(((1/F21)-(1/($C$3/2)))*$A$19))</f>
        <v>5.12459634591247</v>
      </c>
      <c r="G25" s="649">
        <f t="shared" si="7"/>
        <v>6.72140298771467</v>
      </c>
      <c r="H25" s="649">
        <f t="shared" si="7"/>
        <v>8.31593796397</v>
      </c>
      <c r="I25" s="649">
        <f t="shared" si="7"/>
        <v>9.95978938921917</v>
      </c>
      <c r="J25" s="650"/>
    </row>
    <row r="26" ht="15.75" spans="1:11">
      <c r="A26" s="651">
        <f>E15/E4</f>
        <v>1.26008282192183</v>
      </c>
      <c r="B26" s="572" t="s">
        <v>136</v>
      </c>
      <c r="C26" s="648"/>
      <c r="D26" s="652">
        <f>$C$3*PI()-D25</f>
        <v>771.22849525701</v>
      </c>
      <c r="E26" s="652">
        <f t="shared" ref="E26:I26" si="8">$C$3*PI()-E25</f>
        <v>768.723417101153</v>
      </c>
      <c r="F26" s="652">
        <f t="shared" si="8"/>
        <v>766.986347956853</v>
      </c>
      <c r="G26" s="652">
        <f t="shared" si="8"/>
        <v>765.38954131505</v>
      </c>
      <c r="H26" s="652">
        <f t="shared" si="8"/>
        <v>763.795006338795</v>
      </c>
      <c r="I26" s="652">
        <f t="shared" si="8"/>
        <v>762.151154913546</v>
      </c>
      <c r="J26" s="653"/>
    </row>
    <row r="27" ht="15.75" spans="1:11">
      <c r="A27" s="651">
        <f>F15/F5</f>
        <v>1.03986348143047</v>
      </c>
      <c r="B27" s="572" t="s">
        <v>137</v>
      </c>
      <c r="C27" s="648"/>
      <c r="D27" s="649">
        <f>(2*D21*PI())/2</f>
        <v>378.201490517408</v>
      </c>
      <c r="E27" s="654">
        <f>(2*E21*PI())/4</f>
        <v>147.798202878635</v>
      </c>
      <c r="F27" s="654">
        <f t="shared" ref="F27:I27" si="9">(2*F21*PI())/4</f>
        <v>113.523263348729</v>
      </c>
      <c r="G27" s="654">
        <f t="shared" si="9"/>
        <v>87.5497147237534</v>
      </c>
      <c r="H27" s="654">
        <f t="shared" si="9"/>
        <v>67.8669599931331</v>
      </c>
      <c r="I27" s="654">
        <f t="shared" si="9"/>
        <v>52.9513687745644</v>
      </c>
      <c r="J27" s="650"/>
    </row>
    <row r="28" ht="15.75" spans="1:11">
      <c r="A28" s="651">
        <f>G15/G5</f>
        <v>1.03185140184548</v>
      </c>
      <c r="B28" s="572" t="s">
        <v>138</v>
      </c>
      <c r="C28" s="648"/>
      <c r="D28" s="649">
        <f>((D26-D27)/(D15/D5))/2</f>
        <v>188.677115486427</v>
      </c>
      <c r="E28" s="654">
        <f>((E26-E27)/A26)/2</f>
        <v>246.382699383009</v>
      </c>
      <c r="F28" s="654">
        <f>((F26-F27)/A27)/2</f>
        <v>314.206189695784</v>
      </c>
      <c r="G28" s="654">
        <f>((G26-G27)/A28)/2</f>
        <v>328.458063524928</v>
      </c>
      <c r="H28" s="654">
        <f>((H26-H27)/A29)/2</f>
        <v>346.380717182853</v>
      </c>
      <c r="I28" s="654">
        <f>((I26-I27)/A30)/2</f>
        <v>354.599893069491</v>
      </c>
      <c r="J28" s="653">
        <f>I28+I21*2</f>
        <v>422.019669741121</v>
      </c>
    </row>
    <row r="29" ht="15.75" spans="1:11">
      <c r="A29" s="651">
        <f>H15/H5</f>
        <v>1.00457099922552</v>
      </c>
      <c r="B29" s="547" t="s">
        <v>139</v>
      </c>
      <c r="C29" s="648"/>
      <c r="D29" s="655">
        <f>D8+D3/2</f>
        <v>531.5</v>
      </c>
      <c r="E29" s="654">
        <f>((E6-SQRT(E6^2-(E28^2/4)))+E8)-(0.75*(((E6-SQRT(E6^2-(E28^2/4)))+E8)-E8))</f>
        <v>551.195731635371</v>
      </c>
      <c r="F29" s="654">
        <f>((F6-SQRT(F6^2-(F28^2/4)))+F8)-(0.75*(((F6-SQRT(F6^2-(F28^2/4)))+F8)-F8))</f>
        <v>567.582089309796</v>
      </c>
      <c r="G29" s="654">
        <f>((G6-SQRT(G6^2-(G28^2/4)))+G8)-(0.75*(((G6-SQRT(G6^2-(G28^2/4)))+G8)-G8))</f>
        <v>578.124642166403</v>
      </c>
      <c r="H29" s="654">
        <f>((H6-SQRT(H6^2-(H28^2/4)))+H8)-(0.75*(((H6-SQRT(H6^2-(H28^2/4)))+H8)-H8))</f>
        <v>587.535705214112</v>
      </c>
      <c r="I29" s="654">
        <f>((I6-SQRT(I6^2-(I28^2/4)))+I8)-(0.75*(((I6-SQRT(I6^2-(I28^2/4)))+I8)-I8))</f>
        <v>589.003929408907</v>
      </c>
      <c r="J29" s="650"/>
    </row>
    <row r="30" ht="15.75" spans="1:11">
      <c r="A30" s="651">
        <f>I15/I5</f>
        <v>1</v>
      </c>
      <c r="B30" s="656" t="s">
        <v>140</v>
      </c>
      <c r="C30" s="657"/>
      <c r="D30" s="658">
        <v>1</v>
      </c>
      <c r="E30" s="659">
        <f>1/((E29/$D$29)*(1+0.022*((2-1)/6)))</f>
        <v>0.960744533910764</v>
      </c>
      <c r="F30" s="659">
        <f>1/((F29/$D$29)*(1+0.022*((2-1)/6)))</f>
        <v>0.933007394450364</v>
      </c>
      <c r="G30" s="659">
        <f>1/((G29/$D$29)*(1+0.022*((2-1)/6)))*0.847</f>
        <v>0.77584630677813</v>
      </c>
      <c r="H30" s="659">
        <f>1/((H29/$D$29)*(1+0.022*((2-1)/6)))</f>
        <v>0.901321028805634</v>
      </c>
      <c r="I30" s="659">
        <f>1/((I29/$D$29)*(1+0.022*((2-1)/6)))</f>
        <v>0.899074284300722</v>
      </c>
      <c r="J30" s="660"/>
    </row>
    <row r="31" spans="1:11">
      <c r="B31" s="661" t="s">
        <v>141</v>
      </c>
      <c r="C31" s="662"/>
      <c r="D31" s="663">
        <f>IF(D3&lt;=0,0.5*(D8+(D5-D3)-(D12+2*135)),0.5*(D8+D5-(D12+2*135)))</f>
        <v>99.8852734011361</v>
      </c>
      <c r="E31" s="663">
        <f>IF(E3&lt;=0,0.5*(E8+(E5-E3)-(E12+2*135)),0.5*(E8+E5-(E12+2*135)))</f>
        <v>102.885273401136</v>
      </c>
      <c r="F31" s="663">
        <f t="shared" ref="F31:I31" si="10">0.5*(F8+F5-(F12+2*135))</f>
        <v>110.385273401136</v>
      </c>
      <c r="G31" s="663">
        <f t="shared" si="10"/>
        <v>113.385273401136</v>
      </c>
      <c r="H31" s="663">
        <f t="shared" si="10"/>
        <v>117.885273401136</v>
      </c>
      <c r="I31" s="663">
        <f t="shared" si="10"/>
        <v>117.885273401136</v>
      </c>
      <c r="J31" s="661"/>
    </row>
    <row r="32" spans="1:11">
      <c r="B32" s="664" t="s">
        <v>10</v>
      </c>
      <c r="C32" s="664"/>
      <c r="D32" s="665">
        <f>D11-D31</f>
        <v>41.1147265988639</v>
      </c>
      <c r="E32" s="665">
        <f>E11-E31</f>
        <v>38.1147265988639</v>
      </c>
      <c r="F32" s="665">
        <f t="shared" ref="F32:I32" si="11">F11-F31</f>
        <v>30.6147265988639</v>
      </c>
      <c r="G32" s="665">
        <f t="shared" si="11"/>
        <v>27.6147265988639</v>
      </c>
      <c r="H32" s="665">
        <f t="shared" si="11"/>
        <v>23.1147265988639</v>
      </c>
      <c r="I32" s="665">
        <f t="shared" si="11"/>
        <v>23.1147265988639</v>
      </c>
      <c r="J32" s="664">
        <v>700</v>
      </c>
    </row>
    <row r="33" customHeight="1" spans="1:11">
      <c r="B33" s="666" t="s">
        <v>142</v>
      </c>
      <c r="C33" s="667"/>
      <c r="D33" s="668">
        <f>(($D$12-80)-(60+A13))/2</f>
        <v>27.5</v>
      </c>
      <c r="E33" s="668">
        <f>((E12-80)-(60+A14))/2</f>
        <v>22.5</v>
      </c>
      <c r="F33" s="668">
        <f>((F12-80)-(60+A15))/2</f>
        <v>17.5</v>
      </c>
      <c r="G33" s="668">
        <f>((G12-80)-(60+A16))/2</f>
        <v>17.5</v>
      </c>
      <c r="H33" s="668">
        <f>((H12-80)-(60+A17))/2</f>
        <v>12.5</v>
      </c>
      <c r="I33" s="668">
        <f>((I12-80)-(60+A18))/2</f>
        <v>7.5</v>
      </c>
      <c r="J33" s="669">
        <f>((I8/1000)*PI()*J32)</f>
        <v>1295.27865107507</v>
      </c>
    </row>
    <row r="34" spans="1:11">
      <c r="B34" s="670" t="s">
        <v>143</v>
      </c>
      <c r="C34" s="671"/>
      <c r="D34" s="672">
        <f>IF(D3&lt;=0,0,SQRT((D29/2)*D3))</f>
        <v>36.4520232634623</v>
      </c>
      <c r="E34" s="672">
        <f>IF(E3&lt;=0,0,SQRT((E29/2)*E3))</f>
        <v>59.8562632949127</v>
      </c>
      <c r="F34" s="672">
        <f t="shared" ref="F34:I34" si="12">SQRT((F29/2)*F3)</f>
        <v>23.8239813908128</v>
      </c>
      <c r="G34" s="672">
        <f t="shared" si="12"/>
        <v>41.6458152339369</v>
      </c>
      <c r="H34" s="672">
        <f t="shared" si="12"/>
        <v>17.139657307165</v>
      </c>
      <c r="I34" s="672">
        <f t="shared" si="12"/>
        <v>24.2694031531249</v>
      </c>
      <c r="J34" s="596"/>
    </row>
    <row r="35" ht="18" customHeight="1" spans="1:11">
      <c r="B35" s="566" t="s">
        <v>144</v>
      </c>
      <c r="C35" s="673">
        <v>40</v>
      </c>
      <c r="D35" s="654">
        <f>IF(D34=0,C35,(((D3*100/$J$3)*($J$35-$C$35))/100)+C35)</f>
        <v>42.5862068965517</v>
      </c>
      <c r="E35" s="654">
        <f>IF(E34=0,C35,(((E3*100/$J$3)*($J$35-$C$35))/100)+D35)</f>
        <v>49.3103448275862</v>
      </c>
      <c r="F35" s="654">
        <f>IF(F34=0,C35,(((F3*100/$J$3)*($J$35-$C$35))/100)+E35)</f>
        <v>50.3448275862069</v>
      </c>
      <c r="G35" s="654">
        <f t="shared" ref="G35:I35" si="13">(((G3*100/$J$3)*($J$35-$C$35))/100)+F35</f>
        <v>53.448275862069</v>
      </c>
      <c r="H35" s="654">
        <f t="shared" si="13"/>
        <v>53.9655172413793</v>
      </c>
      <c r="I35" s="654">
        <f t="shared" si="13"/>
        <v>55</v>
      </c>
      <c r="J35" s="674">
        <v>55</v>
      </c>
    </row>
    <row r="36" spans="1:11">
      <c r="B36" s="664" t="s">
        <v>145</v>
      </c>
      <c r="C36" s="675"/>
      <c r="D36" s="676">
        <f>((2*D35*$A$19*D34)*0.8)/1000</f>
        <v>19.8701235775453</v>
      </c>
      <c r="E36" s="676">
        <f>((2*E35*$A$19*E34)*0.8)/1000</f>
        <v>37.7796221844856</v>
      </c>
      <c r="F36" s="676">
        <f t="shared" ref="F36:I36" si="14">((2*F35*$A$19*F34)*0.8)/1000</f>
        <v>15.3525022148797</v>
      </c>
      <c r="G36" s="676">
        <f t="shared" si="14"/>
        <v>28.4914818703899</v>
      </c>
      <c r="H36" s="676">
        <f t="shared" si="14"/>
        <v>11.8393660405907</v>
      </c>
      <c r="I36" s="676">
        <f t="shared" si="14"/>
        <v>17.0856598197999</v>
      </c>
      <c r="J36" s="677"/>
    </row>
    <row r="37" spans="1:11">
      <c r="B37" s="678" t="s">
        <v>146</v>
      </c>
      <c r="C37" s="679"/>
      <c r="D37" s="680">
        <f>IF(D3&lt;=0,0,(3.615*D35*D29*$A$19^2*LOG10((C3/2)/D21))/1000)</f>
        <v>46.7455826876363</v>
      </c>
      <c r="E37" s="680">
        <f>IF(E3&lt;=0,0,IF(D3&lt;=0,(3.615*D35*D29*$A$19^2*LOG10((B3/2)/E21))/1000,(0.5*E35*E29*(7.23*$A$19^2*LOG10(D21/E21)+$A$19*(D26-E26)))/1000))</f>
        <v>945.346480853059</v>
      </c>
      <c r="F37" s="680">
        <f>IF(F3&lt;=0,0,IF(E3&lt;=0,(3.615*E35*E29*$A$19^2*LOG10((C3/2)/F21))/1000,(0.5*F35*F29*(7.23*$A$19^2*LOG10(E21/F21)+$A$19*(E26-F26)))/1000))</f>
        <v>956.070613273855</v>
      </c>
      <c r="G37" s="680">
        <f>IF(G3&lt;=0,0,IF(F3&lt;=0,(3.615*F35*F29*$A$19^2*LOG10((D3/2)/G21))/1000,(0.5*G35*G29*(7.23*$A$19^2*LOG10(F21/G21)+$A$19*(F26-G26)))/1000))</f>
        <v>1003.98299571417</v>
      </c>
      <c r="H37" s="680">
        <f>(0.5*H35*H29*(7.23*$A$19^2*LOG10(G21/H21)+$A$19*(G26-H26)))/1000</f>
        <v>1013.52612882556</v>
      </c>
      <c r="I37" s="680">
        <f>(0.5*I35*I29*(7.23*$A$19^2*LOG10(H21/I21)+$A$19*(H26-I26)))/1000</f>
        <v>1020.82720769061</v>
      </c>
      <c r="J37" s="681"/>
      <c r="K37" s="32">
        <f>(0.5*G35*G29*(7.23*$A$19^2+$A$19*(F26-G26)))/1000</f>
        <v>7346.33351524465</v>
      </c>
    </row>
    <row r="38" spans="1:11">
      <c r="B38" s="678"/>
      <c r="C38" s="679"/>
      <c r="D38" s="680"/>
      <c r="E38" s="680"/>
      <c r="F38" s="680"/>
      <c r="G38" s="680"/>
      <c r="H38" s="680"/>
      <c r="I38" s="680"/>
      <c r="J38" s="681"/>
    </row>
    <row r="39" spans="1:11">
      <c r="B39" s="678" t="s">
        <v>147</v>
      </c>
      <c r="C39" s="679"/>
      <c r="D39" s="680">
        <f>((2*D37*D34)/(3.615*$A$19*LOG10((C3/2)/D21))/1000)</f>
        <v>13.2012133518316</v>
      </c>
      <c r="E39" s="680">
        <f t="shared" ref="E39:I39" si="15">4*((4*E37*E34)/(7.23*$A$19^2*LOG10(D21/E21)))/1000</f>
        <v>18.2818774158871</v>
      </c>
      <c r="F39" s="680">
        <f t="shared" si="15"/>
        <v>6.87354780188679</v>
      </c>
      <c r="G39" s="680">
        <f t="shared" si="15"/>
        <v>12.8136938076397</v>
      </c>
      <c r="H39" s="680">
        <f t="shared" si="15"/>
        <v>5.4312281031007</v>
      </c>
      <c r="I39" s="680">
        <f t="shared" si="15"/>
        <v>7.94822237150888</v>
      </c>
      <c r="J39" s="681"/>
    </row>
    <row r="40" spans="1:11">
      <c r="B40" s="678" t="s">
        <v>148</v>
      </c>
      <c r="C40" s="679"/>
      <c r="D40" s="680">
        <f>D36*D34*0.16</f>
        <v>115.888993103448</v>
      </c>
      <c r="E40" s="680">
        <f t="shared" ref="E40:I40" si="16">E36*E34*0.16</f>
        <v>361.815522025103</v>
      </c>
      <c r="F40" s="680">
        <f t="shared" si="16"/>
        <v>58.521236331153</v>
      </c>
      <c r="G40" s="680">
        <f t="shared" si="16"/>
        <v>189.848158354451</v>
      </c>
      <c r="H40" s="680">
        <f t="shared" si="16"/>
        <v>32.4676282671699</v>
      </c>
      <c r="I40" s="680">
        <f t="shared" si="16"/>
        <v>66.3454026086193</v>
      </c>
      <c r="J40" s="680"/>
    </row>
    <row r="41" spans="1:11">
      <c r="B41" s="553" t="s">
        <v>149</v>
      </c>
      <c r="C41" s="682"/>
      <c r="D41" s="683">
        <f>((D36*(D21*2))/(2.65*$A$19*(1-($A$19/(D21*2)))))</f>
        <v>233.422866770775</v>
      </c>
      <c r="E41" s="683">
        <f t="shared" ref="E41:I41" si="17">((E36*(E21*2))/(2.65*$A$19*(1-($A$19/(E21*2)))))</f>
        <v>350.241533117954</v>
      </c>
      <c r="F41" s="683">
        <f t="shared" si="17"/>
        <v>110.806704529359</v>
      </c>
      <c r="G41" s="683">
        <f t="shared" si="17"/>
        <v>161.393876551982</v>
      </c>
      <c r="H41" s="683">
        <f t="shared" si="17"/>
        <v>53.1805951002063</v>
      </c>
      <c r="I41" s="683">
        <f t="shared" si="17"/>
        <v>61.6509109729979</v>
      </c>
      <c r="J41" s="684">
        <f>SUM(D41:I41)</f>
        <v>970.696487043274</v>
      </c>
    </row>
    <row r="42" ht="16.5" spans="1:11">
      <c r="A42" s="685">
        <v>220</v>
      </c>
      <c r="B42" s="686"/>
      <c r="C42" s="687"/>
      <c r="D42" s="545">
        <v>1</v>
      </c>
      <c r="E42" s="688">
        <v>2</v>
      </c>
      <c r="F42" s="543">
        <v>3</v>
      </c>
      <c r="G42" s="543">
        <v>4</v>
      </c>
      <c r="H42" s="543">
        <v>5</v>
      </c>
      <c r="I42" s="543">
        <v>6</v>
      </c>
      <c r="J42" s="543"/>
      <c r="K42" s="545"/>
    </row>
    <row r="43" ht="12.75" spans="1:11">
      <c r="A43" s="689" t="s">
        <v>150</v>
      </c>
      <c r="B43" s="690"/>
      <c r="C43" s="690"/>
      <c r="D43" s="691"/>
      <c r="E43" s="692" t="s">
        <v>56</v>
      </c>
      <c r="F43" s="693">
        <v>610</v>
      </c>
      <c r="G43" s="690" t="s">
        <v>2</v>
      </c>
      <c r="H43" s="690" t="s">
        <v>57</v>
      </c>
      <c r="I43" s="693">
        <v>600</v>
      </c>
      <c r="J43" s="690" t="s">
        <v>2</v>
      </c>
      <c r="K43" s="691"/>
    </row>
    <row r="44" ht="12.75" spans="1:11">
      <c r="A44" s="694" t="s">
        <v>151</v>
      </c>
      <c r="B44" s="695"/>
      <c r="C44" s="695"/>
      <c r="D44" s="696"/>
      <c r="E44" s="697"/>
      <c r="F44" s="698">
        <v>870</v>
      </c>
      <c r="G44" s="695" t="s">
        <v>2</v>
      </c>
      <c r="H44" s="695"/>
      <c r="I44" s="698">
        <v>900</v>
      </c>
      <c r="J44" s="695" t="s">
        <v>2</v>
      </c>
      <c r="K44" s="696"/>
    </row>
    <row r="45" ht="15.75" spans="1:11">
      <c r="A45" s="699">
        <v>270</v>
      </c>
      <c r="B45" s="700"/>
      <c r="C45" s="701"/>
      <c r="D45" s="696"/>
      <c r="E45" s="702"/>
      <c r="F45" s="695"/>
      <c r="G45" s="695"/>
      <c r="H45" s="695"/>
      <c r="I45" s="695"/>
      <c r="J45" s="695"/>
      <c r="K45" s="696"/>
    </row>
    <row r="46" ht="12.75" spans="1:11">
      <c r="A46" s="694" t="s">
        <v>150</v>
      </c>
      <c r="B46" s="695"/>
      <c r="C46" s="695"/>
      <c r="D46" s="696"/>
      <c r="E46" s="697" t="s">
        <v>56</v>
      </c>
      <c r="F46" s="698">
        <v>660</v>
      </c>
      <c r="G46" s="695" t="s">
        <v>2</v>
      </c>
      <c r="H46" s="695" t="s">
        <v>57</v>
      </c>
      <c r="I46" s="698">
        <v>600</v>
      </c>
      <c r="J46" s="695" t="s">
        <v>2</v>
      </c>
      <c r="K46" s="696"/>
    </row>
    <row r="47" ht="12.75" spans="1:11">
      <c r="A47" s="694" t="s">
        <v>151</v>
      </c>
      <c r="B47" s="695"/>
      <c r="C47" s="695"/>
      <c r="D47" s="696"/>
      <c r="E47" s="697"/>
      <c r="F47" s="698">
        <v>870</v>
      </c>
      <c r="G47" s="695" t="s">
        <v>2</v>
      </c>
      <c r="H47" s="695"/>
      <c r="I47" s="698">
        <v>900</v>
      </c>
      <c r="J47" s="695" t="s">
        <v>2</v>
      </c>
      <c r="K47" s="696"/>
    </row>
    <row r="48" ht="15.75" spans="1:11">
      <c r="A48" s="699">
        <v>360</v>
      </c>
      <c r="B48" s="700"/>
      <c r="C48" s="701"/>
      <c r="D48" s="696"/>
      <c r="E48" s="702"/>
      <c r="F48" s="695"/>
      <c r="G48" s="695"/>
      <c r="H48" s="695"/>
      <c r="I48" s="695"/>
      <c r="J48" s="695"/>
      <c r="K48" s="696"/>
    </row>
    <row r="49" ht="12.75" spans="1:11">
      <c r="A49" s="694" t="s">
        <v>150</v>
      </c>
      <c r="B49" s="695"/>
      <c r="C49" s="695"/>
      <c r="D49" s="696"/>
      <c r="E49" s="697" t="s">
        <v>56</v>
      </c>
      <c r="F49" s="698">
        <v>750</v>
      </c>
      <c r="G49" s="695" t="s">
        <v>2</v>
      </c>
      <c r="H49" s="695" t="s">
        <v>57</v>
      </c>
      <c r="I49" s="698">
        <v>600</v>
      </c>
      <c r="J49" s="695" t="s">
        <v>2</v>
      </c>
      <c r="K49" s="696"/>
    </row>
    <row r="50" ht="12.75" spans="1:11">
      <c r="A50" s="694" t="s">
        <v>151</v>
      </c>
      <c r="B50" s="695"/>
      <c r="C50" s="695"/>
      <c r="D50" s="696"/>
      <c r="E50" s="697"/>
      <c r="F50" s="698">
        <v>870</v>
      </c>
      <c r="G50" s="695" t="s">
        <v>2</v>
      </c>
      <c r="H50" s="695"/>
      <c r="I50" s="698">
        <v>900</v>
      </c>
      <c r="J50" s="695" t="s">
        <v>2</v>
      </c>
      <c r="K50" s="696"/>
    </row>
    <row r="51" ht="15.75" spans="1:11">
      <c r="A51" s="699">
        <v>420</v>
      </c>
      <c r="B51" s="700"/>
      <c r="C51" s="701"/>
      <c r="D51" s="696"/>
      <c r="E51" s="702"/>
      <c r="F51" s="695"/>
      <c r="G51" s="695"/>
      <c r="H51" s="695"/>
      <c r="I51" s="695"/>
      <c r="J51" s="695"/>
      <c r="K51" s="696"/>
    </row>
    <row r="52" ht="12.75" spans="1:11">
      <c r="A52" s="694" t="s">
        <v>150</v>
      </c>
      <c r="B52" s="695"/>
      <c r="C52" s="695"/>
      <c r="D52" s="696"/>
      <c r="E52" s="697" t="s">
        <v>56</v>
      </c>
      <c r="F52" s="698">
        <v>810</v>
      </c>
      <c r="G52" s="695" t="s">
        <v>2</v>
      </c>
      <c r="H52" s="695" t="s">
        <v>57</v>
      </c>
      <c r="I52" s="698">
        <v>600</v>
      </c>
      <c r="J52" s="695" t="s">
        <v>2</v>
      </c>
      <c r="K52" s="696"/>
    </row>
    <row r="53" ht="13.5" spans="1:11">
      <c r="A53" s="703" t="s">
        <v>151</v>
      </c>
      <c r="B53" s="704"/>
      <c r="C53" s="704"/>
      <c r="D53" s="705"/>
      <c r="E53" s="697"/>
      <c r="F53" s="698">
        <v>870</v>
      </c>
      <c r="G53" s="695" t="s">
        <v>2</v>
      </c>
      <c r="H53" s="695"/>
      <c r="I53" s="698">
        <v>900</v>
      </c>
      <c r="J53" s="695" t="s">
        <v>2</v>
      </c>
      <c r="K53" s="696"/>
    </row>
    <row r="54" ht="0.75" customHeight="1" spans="1:11">
      <c r="A54" s="706"/>
      <c r="B54" s="707"/>
      <c r="C54" s="707"/>
      <c r="D54" s="707"/>
      <c r="E54" s="704"/>
      <c r="F54" s="704"/>
      <c r="G54" s="704"/>
      <c r="H54" s="704"/>
      <c r="I54" s="704"/>
      <c r="J54" s="704"/>
      <c r="K54" s="705"/>
    </row>
  </sheetData>
  <mergeCells count="4">
    <mergeCell ref="A42:C42"/>
    <mergeCell ref="A45:C45"/>
    <mergeCell ref="A48:C48"/>
    <mergeCell ref="A51:C51"/>
  </mergeCells>
  <pageMargins left="0.55" right="0.21" top="0.39" bottom="0.66" header="0.35" footer="0.7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75"/>
  <sheetViews>
    <sheetView zoomScale="70" zoomScaleNormal="70" workbookViewId="0">
      <selection activeCell="B58" sqref="B58:C58"/>
    </sheetView>
  </sheetViews>
  <sheetFormatPr defaultColWidth="9" defaultRowHeight="12.75"/>
  <cols>
    <col min="1" max="1" width="0.144444444444444" customWidth="1"/>
    <col min="2" max="2" width="10" customWidth="1"/>
    <col min="3" max="3" width="11.1444444444444" customWidth="1"/>
    <col min="4" max="4" width="13.8555555555556" customWidth="1"/>
    <col min="5" max="5" width="11.1444444444444" customWidth="1"/>
    <col min="6" max="6" width="12.7111111111111" customWidth="1"/>
    <col min="7" max="8" width="11.1444444444444" customWidth="1"/>
    <col min="9" max="9" width="8.71111111111111" customWidth="1"/>
    <col min="10" max="10" width="11.2888888888889" customWidth="1"/>
    <col min="11" max="11" width="10.1444444444444" customWidth="1"/>
    <col min="12" max="12" width="11" customWidth="1"/>
    <col min="13" max="13" width="11.5666666666667" customWidth="1"/>
    <col min="14" max="14" width="13.5666666666667" customWidth="1"/>
    <col min="15" max="15" width="10.8555555555556" customWidth="1"/>
    <col min="16" max="16" width="10.7111111111111" customWidth="1"/>
    <col min="17" max="17" width="9.71111111111111" customWidth="1"/>
    <col min="18" max="18" width="10.4222222222222" customWidth="1"/>
    <col min="19" max="19" width="9.56666666666667" customWidth="1"/>
    <col min="20" max="20" width="2.56666666666667" customWidth="1"/>
    <col min="21" max="21" width="9.85555555555556" customWidth="1"/>
    <col min="22" max="22" width="10.5666666666667" customWidth="1"/>
    <col min="23" max="23" width="10.7111111111111" customWidth="1"/>
    <col min="24" max="24" width="11.5666666666667" customWidth="1"/>
    <col min="25" max="25" width="11.2888888888889" customWidth="1"/>
    <col min="26" max="26" width="12" customWidth="1"/>
    <col min="27" max="27" width="12.4222222222222" customWidth="1"/>
    <col min="28" max="28" width="12.1444444444444" customWidth="1"/>
    <col min="29" max="29" width="12.4222222222222" customWidth="1"/>
    <col min="30" max="30" width="10.4222222222222" customWidth="1"/>
  </cols>
  <sheetData>
    <row r="1" ht="6" customHeight="1" spans="2:23">
      <c r="G1" s="324" t="s">
        <v>152</v>
      </c>
      <c r="H1" s="325"/>
      <c r="I1" s="325"/>
      <c r="J1" s="325"/>
      <c r="K1" s="325"/>
      <c r="L1" s="325"/>
      <c r="M1" s="326"/>
      <c r="N1" s="327"/>
      <c r="O1" s="328" t="s">
        <v>56</v>
      </c>
      <c r="P1" s="328">
        <v>590</v>
      </c>
      <c r="R1" s="329" t="s">
        <v>153</v>
      </c>
      <c r="S1" s="329" t="s">
        <v>154</v>
      </c>
      <c r="T1" s="329" t="s">
        <v>155</v>
      </c>
      <c r="U1" s="329"/>
    </row>
    <row r="2" ht="6" customHeight="1" spans="2:23">
      <c r="G2" s="330"/>
      <c r="H2" s="331"/>
      <c r="I2" s="331"/>
      <c r="J2" s="331"/>
      <c r="K2" s="331"/>
      <c r="L2" s="331"/>
      <c r="M2" s="332"/>
      <c r="N2" s="327"/>
      <c r="O2" s="328" t="s">
        <v>57</v>
      </c>
      <c r="P2" s="328">
        <v>460</v>
      </c>
      <c r="R2" s="333"/>
    </row>
    <row r="3" ht="9.75" customHeight="1" spans="2:23">
      <c r="F3" s="334" t="s">
        <v>156</v>
      </c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6">
        <f ca="1">NOW()</f>
        <v>46288.7444675926</v>
      </c>
      <c r="R3" s="336"/>
    </row>
    <row r="4" ht="26.25" spans="2:23">
      <c r="B4" s="337" t="s">
        <v>157</v>
      </c>
      <c r="C4" s="338" t="s">
        <v>158</v>
      </c>
      <c r="D4" s="339" t="s">
        <v>159</v>
      </c>
      <c r="E4" s="340" t="s">
        <v>160</v>
      </c>
      <c r="F4" s="341" t="s">
        <v>161</v>
      </c>
      <c r="G4" s="340" t="s">
        <v>162</v>
      </c>
      <c r="H4" s="341" t="s">
        <v>163</v>
      </c>
      <c r="I4" s="340" t="s">
        <v>164</v>
      </c>
      <c r="J4" s="339" t="s">
        <v>165</v>
      </c>
      <c r="K4" s="338" t="s">
        <v>166</v>
      </c>
      <c r="L4" s="342" t="s">
        <v>167</v>
      </c>
      <c r="M4" s="343"/>
      <c r="N4" s="344"/>
      <c r="O4" s="339" t="s">
        <v>168</v>
      </c>
      <c r="P4" s="339" t="s">
        <v>169</v>
      </c>
      <c r="Q4" s="345" t="s">
        <v>170</v>
      </c>
      <c r="R4" s="346" t="s">
        <v>171</v>
      </c>
      <c r="S4" s="339" t="s">
        <v>172</v>
      </c>
    </row>
    <row r="5" ht="20.25" spans="2:23">
      <c r="B5" s="347" t="s">
        <v>173</v>
      </c>
      <c r="C5" s="348" t="s">
        <v>2</v>
      </c>
      <c r="D5" s="349" t="s">
        <v>2</v>
      </c>
      <c r="E5" s="350" t="s">
        <v>2</v>
      </c>
      <c r="F5" s="351"/>
      <c r="G5" s="352" t="s">
        <v>2</v>
      </c>
      <c r="H5" s="351" t="s">
        <v>2</v>
      </c>
      <c r="I5" s="352" t="s">
        <v>2</v>
      </c>
      <c r="J5" s="353" t="s">
        <v>2</v>
      </c>
      <c r="K5" s="354" t="s">
        <v>2</v>
      </c>
      <c r="L5" s="355" t="s">
        <v>174</v>
      </c>
      <c r="M5" s="356" t="s">
        <v>175</v>
      </c>
      <c r="N5" s="356" t="s">
        <v>176</v>
      </c>
      <c r="O5" s="353" t="s">
        <v>2</v>
      </c>
      <c r="P5" s="353" t="s">
        <v>2</v>
      </c>
      <c r="Q5" s="354" t="s">
        <v>177</v>
      </c>
      <c r="R5" s="353" t="s">
        <v>178</v>
      </c>
      <c r="S5" s="353" t="s">
        <v>179</v>
      </c>
    </row>
    <row r="6" ht="18.75" spans="2:23">
      <c r="B6" s="357">
        <v>4</v>
      </c>
      <c r="C6" s="358">
        <v>12</v>
      </c>
      <c r="D6" s="359">
        <v>25.5</v>
      </c>
      <c r="E6" s="360">
        <f>(2.35-0.007*(ATAN(0.5*(1/('Расчётные данные'!D12*(1/D6-1/'Расчётные данные'!E12))))*180/PI()))*D6/1.72</f>
        <v>29.1535577147612</v>
      </c>
      <c r="F6" s="361">
        <f>D6/C6</f>
        <v>2.125</v>
      </c>
      <c r="G6" s="362">
        <f>((((SQRT((1/ВНИТИ!E6-1/'Расчётные данные'!E12)*'Расчётные данные'!D12))*'Расчётные данные'!D12*3)+(2*('Расчётные данные'!B12+'Расчётные данные'!C12)-ВНИТИ!E6*1.72))/PI())</f>
        <v>193.968241970046</v>
      </c>
      <c r="H6" s="357">
        <f>P1</f>
        <v>590</v>
      </c>
      <c r="I6" s="363">
        <f>P2</f>
        <v>460</v>
      </c>
      <c r="J6" s="357">
        <v>160</v>
      </c>
      <c r="K6" s="363">
        <v>160</v>
      </c>
      <c r="L6" s="364">
        <v>15</v>
      </c>
      <c r="M6" s="364">
        <v>10</v>
      </c>
      <c r="N6" s="364">
        <v>5</v>
      </c>
      <c r="O6" s="357">
        <f>P1+K6</f>
        <v>750</v>
      </c>
      <c r="P6" s="357">
        <f>P2+J6</f>
        <v>620</v>
      </c>
      <c r="Q6" s="365">
        <v>8</v>
      </c>
      <c r="R6" s="357">
        <v>40</v>
      </c>
      <c r="S6" s="366">
        <v>5</v>
      </c>
    </row>
    <row r="7" ht="22.15" customHeight="1" spans="2:23">
      <c r="B7" s="367"/>
      <c r="C7" s="368"/>
      <c r="D7" s="369"/>
      <c r="E7" s="110"/>
      <c r="F7" s="110"/>
      <c r="G7" s="110"/>
      <c r="H7" s="367"/>
      <c r="I7" s="367"/>
      <c r="J7" s="367"/>
      <c r="K7" s="367"/>
      <c r="L7" s="367"/>
      <c r="M7" s="368"/>
      <c r="N7" s="368"/>
      <c r="O7" s="368"/>
      <c r="P7" s="368"/>
      <c r="Q7" s="368"/>
      <c r="R7" s="368"/>
      <c r="S7" s="99"/>
      <c r="T7" s="370"/>
      <c r="U7" s="98"/>
      <c r="V7" s="99"/>
      <c r="W7" s="99"/>
    </row>
    <row r="8" ht="23.25" customHeight="1" spans="2:23">
      <c r="B8" s="371" t="s">
        <v>180</v>
      </c>
      <c r="C8" s="372"/>
      <c r="D8" s="373" t="s">
        <v>7</v>
      </c>
      <c r="E8" s="373" t="s">
        <v>181</v>
      </c>
      <c r="F8" s="374" t="s">
        <v>182</v>
      </c>
      <c r="G8" s="375" t="s">
        <v>183</v>
      </c>
      <c r="H8" s="376" t="s">
        <v>184</v>
      </c>
      <c r="I8" s="373" t="s">
        <v>185</v>
      </c>
      <c r="J8" s="377" t="s">
        <v>186</v>
      </c>
      <c r="K8" s="378" t="s">
        <v>187</v>
      </c>
      <c r="L8" s="379" t="s">
        <v>188</v>
      </c>
      <c r="M8" s="380"/>
      <c r="N8" s="381" t="s">
        <v>189</v>
      </c>
      <c r="O8" s="382" t="s">
        <v>190</v>
      </c>
      <c r="P8" s="382" t="s">
        <v>191</v>
      </c>
      <c r="Q8" s="378" t="s">
        <v>192</v>
      </c>
      <c r="R8" s="383" t="s">
        <v>193</v>
      </c>
      <c r="S8" s="384"/>
      <c r="T8" s="385"/>
      <c r="U8" s="81"/>
    </row>
    <row r="9" ht="24" spans="2:23">
      <c r="B9" s="386"/>
      <c r="C9" s="387"/>
      <c r="D9" s="388"/>
      <c r="E9" s="388"/>
      <c r="F9" s="389" t="s">
        <v>194</v>
      </c>
      <c r="G9" s="389" t="s">
        <v>2</v>
      </c>
      <c r="H9" s="389" t="s">
        <v>2</v>
      </c>
      <c r="I9" s="390" t="s">
        <v>2</v>
      </c>
      <c r="J9" s="391" t="s">
        <v>195</v>
      </c>
      <c r="K9" s="392" t="s">
        <v>196</v>
      </c>
      <c r="L9" s="393"/>
      <c r="M9" s="394"/>
      <c r="N9" s="395"/>
      <c r="O9" s="388" t="s">
        <v>197</v>
      </c>
      <c r="P9" s="396" t="s">
        <v>198</v>
      </c>
      <c r="Q9" s="392" t="s">
        <v>199</v>
      </c>
      <c r="R9" s="383" t="s">
        <v>200</v>
      </c>
      <c r="S9" s="384"/>
      <c r="T9" s="385"/>
      <c r="U9" s="81"/>
    </row>
    <row r="10" ht="18.75" spans="2:23">
      <c r="B10" s="386"/>
      <c r="C10" s="387"/>
      <c r="D10" s="397">
        <v>1</v>
      </c>
      <c r="E10" s="373" t="s">
        <v>201</v>
      </c>
      <c r="F10" s="398">
        <v>0</v>
      </c>
      <c r="G10" s="399">
        <f>G6*PI()</f>
        <v>609.369204002824</v>
      </c>
      <c r="H10" s="400">
        <v>0</v>
      </c>
      <c r="I10" s="399">
        <f>'Расчётные данные'!G205</f>
        <v>94.0734463026373</v>
      </c>
      <c r="J10" s="400">
        <f>'Расчётные данные'!E205</f>
        <v>154.276896537185</v>
      </c>
      <c r="K10" s="1013" t="s">
        <v>202</v>
      </c>
      <c r="L10" s="402" t="s">
        <v>202</v>
      </c>
      <c r="M10" s="403"/>
      <c r="N10" s="404"/>
      <c r="O10" s="405">
        <f>'Расчётные данные'!I205</f>
        <v>133.844810435694</v>
      </c>
      <c r="P10" s="399">
        <f>'Расчётные данные'!B166</f>
        <v>15.2705927772346</v>
      </c>
      <c r="Q10" s="399">
        <f>'Расчётные данные'!F205</f>
        <v>197.410840697603</v>
      </c>
      <c r="R10" s="406" t="s">
        <v>40</v>
      </c>
      <c r="S10" s="407">
        <f>'Расчётные данные'!B189</f>
        <v>561.496200454648</v>
      </c>
      <c r="T10" s="408"/>
      <c r="U10" s="81"/>
    </row>
    <row r="11" ht="19.5" spans="2:23">
      <c r="B11" s="386"/>
      <c r="C11" s="387"/>
      <c r="D11" s="390"/>
      <c r="E11" s="409"/>
      <c r="F11" s="398"/>
      <c r="G11" s="410"/>
      <c r="H11" s="411"/>
      <c r="I11" s="410"/>
      <c r="J11" s="412"/>
      <c r="K11" s="413"/>
      <c r="L11" s="414"/>
      <c r="M11" s="415"/>
      <c r="N11" s="416"/>
      <c r="O11" s="417"/>
      <c r="P11" s="418"/>
      <c r="Q11" s="418"/>
      <c r="R11" s="419" t="s">
        <v>41</v>
      </c>
      <c r="S11" s="420">
        <f>'Расчётные данные'!B186</f>
        <v>592.037386009117</v>
      </c>
      <c r="T11" s="408"/>
      <c r="U11" s="81"/>
    </row>
    <row r="12" ht="18.75" spans="2:23">
      <c r="B12" s="386"/>
      <c r="C12" s="387"/>
      <c r="D12" s="390" t="s">
        <v>203</v>
      </c>
      <c r="E12" s="421" t="s">
        <v>204</v>
      </c>
      <c r="F12" s="398"/>
      <c r="G12" s="410"/>
      <c r="H12" s="411"/>
      <c r="I12" s="410"/>
      <c r="J12" s="1014" t="s">
        <v>202</v>
      </c>
      <c r="K12" s="1015" t="s">
        <v>202</v>
      </c>
      <c r="L12" s="414"/>
      <c r="M12" s="415"/>
      <c r="N12" s="416"/>
      <c r="O12" s="1016" t="s">
        <v>202</v>
      </c>
      <c r="P12" s="1017" t="s">
        <v>202</v>
      </c>
      <c r="Q12" s="410">
        <f>'Расчётные данные'!B205</f>
        <v>188.503799545352</v>
      </c>
      <c r="R12" s="426" t="s">
        <v>202</v>
      </c>
      <c r="S12" s="427"/>
      <c r="T12" s="428"/>
      <c r="U12" s="81"/>
    </row>
    <row r="13" ht="19.5" spans="2:23">
      <c r="B13" s="386"/>
      <c r="C13" s="387"/>
      <c r="D13" s="389" t="s">
        <v>205</v>
      </c>
      <c r="E13" s="388"/>
      <c r="F13" s="429"/>
      <c r="G13" s="430"/>
      <c r="H13" s="431"/>
      <c r="I13" s="430"/>
      <c r="J13" s="432"/>
      <c r="K13" s="433"/>
      <c r="L13" s="434"/>
      <c r="M13" s="435"/>
      <c r="N13" s="436"/>
      <c r="O13" s="437"/>
      <c r="P13" s="438"/>
      <c r="Q13" s="430"/>
      <c r="R13" s="439"/>
      <c r="S13" s="440"/>
      <c r="T13" s="428"/>
      <c r="U13" s="81"/>
    </row>
    <row r="14" ht="18.75" spans="2:23">
      <c r="B14" s="386"/>
      <c r="C14" s="441" t="s">
        <v>206</v>
      </c>
      <c r="D14" s="373">
        <v>2</v>
      </c>
      <c r="E14" s="373" t="s">
        <v>201</v>
      </c>
      <c r="F14" s="399">
        <f>'Расчётные данные'!D27</f>
        <v>1.26965414067953</v>
      </c>
      <c r="G14" s="399">
        <f>'Расчётные данные'!C27</f>
        <v>601.632322672176</v>
      </c>
      <c r="H14" s="399">
        <f>'Расчётные данные'!H27</f>
        <v>7.73688133064775</v>
      </c>
      <c r="I14" s="399">
        <f>'Расчётные данные'!E27</f>
        <v>70.6217382688228</v>
      </c>
      <c r="J14" s="400">
        <f>'Расчётные данные'!B61</f>
        <v>171.50627485801</v>
      </c>
      <c r="K14" s="399">
        <f>'Расчётные данные'!B102</f>
        <v>180.46782891688</v>
      </c>
      <c r="L14" s="442" t="s">
        <v>207</v>
      </c>
      <c r="M14" s="443">
        <f>'Расчётные данные'!B114</f>
        <v>71.4061441311346</v>
      </c>
      <c r="N14" s="444">
        <f>'Расчётные данные'!C289</f>
        <v>0.99055551572673</v>
      </c>
      <c r="O14" s="405">
        <f>'Расчётные данные'!B150</f>
        <v>133.226095441043</v>
      </c>
      <c r="P14" s="399">
        <f>'Расчётные данные'!C166</f>
        <v>13.4648113458837</v>
      </c>
      <c r="Q14" s="399">
        <f>'Расчётные данные'!B126</f>
        <v>184.636622873938</v>
      </c>
      <c r="R14" s="406" t="s">
        <v>40</v>
      </c>
      <c r="S14" s="407">
        <f>'Расчётные данные'!C189</f>
        <v>565.726478312</v>
      </c>
      <c r="T14" s="408"/>
      <c r="U14" s="81"/>
    </row>
    <row r="15" ht="24" customHeight="1" spans="2:23">
      <c r="B15" s="386"/>
      <c r="C15" s="445"/>
      <c r="D15" s="421"/>
      <c r="E15" s="409"/>
      <c r="F15" s="410"/>
      <c r="G15" s="410"/>
      <c r="H15" s="410"/>
      <c r="I15" s="410"/>
      <c r="J15" s="412"/>
      <c r="K15" s="418"/>
      <c r="L15" s="446" t="s">
        <v>208</v>
      </c>
      <c r="M15" s="447">
        <f>'Расчётные данные'!B117</f>
        <v>79.3695140140097</v>
      </c>
      <c r="N15" s="448"/>
      <c r="O15" s="417"/>
      <c r="P15" s="418"/>
      <c r="Q15" s="418"/>
      <c r="R15" s="449" t="s">
        <v>41</v>
      </c>
      <c r="S15" s="450">
        <f>'Расчётные данные'!C186</f>
        <v>592.656101003768</v>
      </c>
      <c r="T15" s="408"/>
    </row>
    <row r="16" ht="24.75" customHeight="1" spans="2:23">
      <c r="B16" s="386"/>
      <c r="C16" s="445"/>
      <c r="D16" s="421"/>
      <c r="E16" s="421" t="s">
        <v>204</v>
      </c>
      <c r="F16" s="410"/>
      <c r="G16" s="410"/>
      <c r="H16" s="410"/>
      <c r="I16" s="410"/>
      <c r="J16" s="411">
        <f>'Расчётные данные'!B64</f>
        <v>163.724455568104</v>
      </c>
      <c r="K16" s="451">
        <f>'Расчётные данные'!B99</f>
        <v>180.424152106033</v>
      </c>
      <c r="L16" s="446" t="s">
        <v>209</v>
      </c>
      <c r="M16" s="447">
        <f>'Расчётные данные'!B134</f>
        <v>73.9313850089116</v>
      </c>
      <c r="N16" s="448"/>
      <c r="O16" s="452">
        <f>'Расчётные данные'!B161</f>
        <v>136.514217118351</v>
      </c>
      <c r="P16" s="410">
        <f>'Расчётные данные'!C169</f>
        <v>14.9069012197914</v>
      </c>
      <c r="Q16" s="410">
        <f>'Расчётные данные'!B123</f>
        <v>184.273521688</v>
      </c>
      <c r="R16" s="449" t="s">
        <v>40</v>
      </c>
      <c r="S16" s="450">
        <f>'Расчётные данные'!B197</f>
        <v>435.363377126062</v>
      </c>
      <c r="T16" s="408"/>
      <c r="U16" s="81"/>
    </row>
    <row r="17" ht="19.5" spans="2:31">
      <c r="B17" s="386"/>
      <c r="C17" s="445"/>
      <c r="D17" s="388"/>
      <c r="E17" s="388"/>
      <c r="F17" s="453"/>
      <c r="G17" s="453"/>
      <c r="H17" s="453"/>
      <c r="I17" s="453"/>
      <c r="J17" s="431"/>
      <c r="K17" s="454"/>
      <c r="L17" s="455" t="s">
        <v>210</v>
      </c>
      <c r="M17" s="456">
        <f>'Расчётные данные'!B137</f>
        <v>75.3836850687078</v>
      </c>
      <c r="N17" s="457"/>
      <c r="O17" s="458"/>
      <c r="P17" s="430"/>
      <c r="Q17" s="430"/>
      <c r="R17" s="419" t="s">
        <v>41</v>
      </c>
      <c r="S17" s="420">
        <f>'Расчётные данные'!B194</f>
        <v>465.177179565645</v>
      </c>
      <c r="T17" s="408"/>
      <c r="U17" s="81"/>
    </row>
    <row r="18" ht="18.75" spans="2:31">
      <c r="B18" s="386"/>
      <c r="C18" s="445"/>
      <c r="D18" s="373">
        <v>3</v>
      </c>
      <c r="E18" s="373" t="s">
        <v>201</v>
      </c>
      <c r="F18" s="459">
        <f>'Расчётные данные'!D30</f>
        <v>1.93691436846925</v>
      </c>
      <c r="G18" s="459">
        <f>'Расчётные данные'!C30</f>
        <v>597.566244333466</v>
      </c>
      <c r="H18" s="459">
        <f>'Расчётные данные'!H30</f>
        <v>4.06607833870964</v>
      </c>
      <c r="I18" s="459">
        <f>'Расчётные данные'!E30</f>
        <v>51.8977787736351</v>
      </c>
      <c r="J18" s="400">
        <f>'Расчётные данные'!C61</f>
        <v>303.290910067778</v>
      </c>
      <c r="K18" s="399">
        <f>'Расчётные данные'!C102</f>
        <v>171.460341719754</v>
      </c>
      <c r="L18" s="442" t="s">
        <v>207</v>
      </c>
      <c r="M18" s="443">
        <f>'Расчётные данные'!C114</f>
        <v>188.102461906297</v>
      </c>
      <c r="N18" s="444">
        <f>'Расчётные данные'!D289</f>
        <v>0.980584804554077</v>
      </c>
      <c r="O18" s="405">
        <f>'Расчётные данные'!C150</f>
        <v>142.794590736182</v>
      </c>
      <c r="P18" s="399">
        <f>'Расчётные данные'!D166</f>
        <v>8.52354019135737</v>
      </c>
      <c r="Q18" s="399">
        <f>'Расчётные данные'!C126</f>
        <v>176.580358537111</v>
      </c>
      <c r="R18" s="406" t="s">
        <v>40</v>
      </c>
      <c r="S18" s="407">
        <f>'Расчётные данные'!D189</f>
        <v>574.017948725704</v>
      </c>
      <c r="T18" s="408"/>
      <c r="U18" s="81"/>
      <c r="V18" s="81"/>
      <c r="AD18" s="81"/>
    </row>
    <row r="19" ht="18.75" spans="2:31">
      <c r="B19" s="386"/>
      <c r="C19" s="445"/>
      <c r="D19" s="421"/>
      <c r="E19" s="409"/>
      <c r="F19" s="410"/>
      <c r="G19" s="410"/>
      <c r="H19" s="410"/>
      <c r="I19" s="410"/>
      <c r="J19" s="412"/>
      <c r="K19" s="418"/>
      <c r="L19" s="446" t="s">
        <v>208</v>
      </c>
      <c r="M19" s="447">
        <f>'Расчётные данные'!C117</f>
        <v>215.29988443063</v>
      </c>
      <c r="N19" s="448"/>
      <c r="O19" s="417"/>
      <c r="P19" s="418"/>
      <c r="Q19" s="418"/>
      <c r="R19" s="449" t="s">
        <v>41</v>
      </c>
      <c r="S19" s="450">
        <f>'Расчётные данные'!D186</f>
        <v>591.065029108419</v>
      </c>
      <c r="T19" s="408"/>
      <c r="U19" s="81"/>
      <c r="V19" s="81"/>
      <c r="AD19" s="81"/>
      <c r="AE19" s="81"/>
    </row>
    <row r="20" ht="18.75" spans="2:31">
      <c r="B20" s="386"/>
      <c r="C20" s="445"/>
      <c r="D20" s="421"/>
      <c r="E20" s="421" t="s">
        <v>204</v>
      </c>
      <c r="F20" s="410"/>
      <c r="G20" s="410"/>
      <c r="H20" s="410"/>
      <c r="I20" s="410"/>
      <c r="J20" s="411">
        <f>'Расчётные данные'!C64</f>
        <v>276.392641174852</v>
      </c>
      <c r="K20" s="451">
        <f>'Расчётные данные'!C99</f>
        <v>171.408095670079</v>
      </c>
      <c r="L20" s="446" t="s">
        <v>209</v>
      </c>
      <c r="M20" s="447">
        <f>'Расчётные данные'!C134</f>
        <v>77.0432961619035</v>
      </c>
      <c r="N20" s="448"/>
      <c r="O20" s="452">
        <f>'Расчётные данные'!C161</f>
        <v>145.063095901529</v>
      </c>
      <c r="P20" s="410">
        <f>'Расчётные данные'!D169</f>
        <v>9.68668577175941</v>
      </c>
      <c r="Q20" s="410">
        <f>'Расчётные данные'!C123</f>
        <v>175.982051274296</v>
      </c>
      <c r="R20" s="449" t="s">
        <v>40</v>
      </c>
      <c r="S20" s="450">
        <f>'Расчётные данные'!C197</f>
        <v>443.419641462889</v>
      </c>
      <c r="T20" s="408"/>
      <c r="U20" s="81"/>
      <c r="V20" s="81"/>
      <c r="AD20" s="81"/>
      <c r="AE20" s="81"/>
    </row>
    <row r="21" ht="19.5" spans="2:31">
      <c r="B21" s="386"/>
      <c r="C21" s="445"/>
      <c r="D21" s="388"/>
      <c r="E21" s="388"/>
      <c r="F21" s="453"/>
      <c r="G21" s="453"/>
      <c r="H21" s="453"/>
      <c r="I21" s="453"/>
      <c r="J21" s="431"/>
      <c r="K21" s="454"/>
      <c r="L21" s="455" t="s">
        <v>210</v>
      </c>
      <c r="M21" s="456">
        <f>'Расчётные данные'!C137</f>
        <v>78.0424184277375</v>
      </c>
      <c r="N21" s="457"/>
      <c r="O21" s="458"/>
      <c r="P21" s="430"/>
      <c r="Q21" s="430"/>
      <c r="R21" s="419" t="s">
        <v>41</v>
      </c>
      <c r="S21" s="420">
        <f>'Расчётные данные'!C194</f>
        <v>462.793013006408</v>
      </c>
      <c r="T21" s="408"/>
      <c r="U21" s="81"/>
      <c r="V21" s="81"/>
      <c r="AD21" s="81"/>
      <c r="AE21" s="81"/>
    </row>
    <row r="22" ht="18.75" spans="2:31">
      <c r="B22" s="386"/>
      <c r="C22" s="445"/>
      <c r="D22" s="373">
        <v>4</v>
      </c>
      <c r="E22" s="373" t="s">
        <v>201</v>
      </c>
      <c r="F22" s="459">
        <f>'Расчётные данные'!D33</f>
        <v>2.5557894528537</v>
      </c>
      <c r="G22" s="459">
        <f>'Расчётные данные'!C33</f>
        <v>593.795010157981</v>
      </c>
      <c r="H22" s="459">
        <f>'Расчётные данные'!H33</f>
        <v>3.77123417548535</v>
      </c>
      <c r="I22" s="459">
        <f>'Расчётные данные'!E33</f>
        <v>38.5990317312447</v>
      </c>
      <c r="J22" s="400">
        <f>'Расчётные данные'!D61</f>
        <v>536.338254713397</v>
      </c>
      <c r="K22" s="399">
        <f>'Расчётные данные'!D102</f>
        <v>164.901741731807</v>
      </c>
      <c r="L22" s="442" t="s">
        <v>207</v>
      </c>
      <c r="M22" s="443">
        <f>'Расчётные данные'!D114</f>
        <v>381.893031453159</v>
      </c>
      <c r="N22" s="444">
        <f>'Расчётные данные'!E289</f>
        <v>0.822866679081877</v>
      </c>
      <c r="O22" s="405">
        <f>'Расчётные данные'!D150</f>
        <v>143.652225837206</v>
      </c>
      <c r="P22" s="399">
        <f>'Расчётные данные'!E166</f>
        <v>4.83121527552009</v>
      </c>
      <c r="Q22" s="399">
        <f>'Расчётные данные'!D126</f>
        <v>169.402468159938</v>
      </c>
      <c r="R22" s="406" t="s">
        <v>40</v>
      </c>
      <c r="S22" s="407">
        <f>'Расчётные данные'!E189</f>
        <v>581.267405168231</v>
      </c>
      <c r="T22" s="408"/>
      <c r="U22" s="81"/>
      <c r="V22" s="81"/>
      <c r="AD22" s="81"/>
      <c r="AE22" s="81"/>
    </row>
    <row r="23" ht="23.25" customHeight="1" spans="2:31">
      <c r="B23" s="386"/>
      <c r="C23" s="445"/>
      <c r="D23" s="421"/>
      <c r="E23" s="409"/>
      <c r="F23" s="410"/>
      <c r="G23" s="410"/>
      <c r="H23" s="410"/>
      <c r="I23" s="410"/>
      <c r="J23" s="412"/>
      <c r="K23" s="418"/>
      <c r="L23" s="446" t="s">
        <v>208</v>
      </c>
      <c r="M23" s="447">
        <f>'Расчётные данные'!D117</f>
        <v>451.971957297513</v>
      </c>
      <c r="N23" s="448"/>
      <c r="O23" s="417"/>
      <c r="P23" s="418"/>
      <c r="Q23" s="418"/>
      <c r="R23" s="449" t="s">
        <v>41</v>
      </c>
      <c r="S23" s="450">
        <f>'Расчётные данные'!E186</f>
        <v>590.929835719271</v>
      </c>
      <c r="T23" s="408"/>
      <c r="U23" s="81"/>
      <c r="V23" s="81"/>
      <c r="AD23" s="81"/>
      <c r="AE23" s="81"/>
    </row>
    <row r="24" ht="18.75" spans="2:31">
      <c r="B24" s="386"/>
      <c r="C24" s="445"/>
      <c r="D24" s="421"/>
      <c r="E24" s="421" t="s">
        <v>204</v>
      </c>
      <c r="F24" s="410"/>
      <c r="G24" s="410"/>
      <c r="H24" s="410"/>
      <c r="I24" s="410"/>
      <c r="J24" s="411">
        <f>'Расчётные данные'!D64</f>
        <v>466.594265533128</v>
      </c>
      <c r="K24" s="451">
        <f>'Расчётные данные'!D99</f>
        <v>164.861632299058</v>
      </c>
      <c r="L24" s="446" t="s">
        <v>209</v>
      </c>
      <c r="M24" s="447">
        <f>'Расчётные данные'!D134</f>
        <v>78.0229213020012</v>
      </c>
      <c r="N24" s="448"/>
      <c r="O24" s="452">
        <f>'Расчётные данные'!D161</f>
        <v>145.174674980313</v>
      </c>
      <c r="P24" s="410">
        <f>'Расчётные данные'!E169</f>
        <v>5.68073018784298</v>
      </c>
      <c r="Q24" s="410">
        <f>'Расчётные данные'!D123</f>
        <v>168.732594831769</v>
      </c>
      <c r="R24" s="449" t="s">
        <v>40</v>
      </c>
      <c r="S24" s="450">
        <f>'Расчётные данные'!D197</f>
        <v>450.597531840062</v>
      </c>
      <c r="T24" s="408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</row>
    <row r="25" ht="19.5" spans="2:31">
      <c r="B25" s="386"/>
      <c r="C25" s="445"/>
      <c r="D25" s="388"/>
      <c r="E25" s="388"/>
      <c r="F25" s="453"/>
      <c r="G25" s="453"/>
      <c r="H25" s="453"/>
      <c r="I25" s="453"/>
      <c r="J25" s="431"/>
      <c r="K25" s="454"/>
      <c r="L25" s="455" t="s">
        <v>210</v>
      </c>
      <c r="M25" s="456">
        <f>'Расчётные данные'!D137</f>
        <v>78.6608227118971</v>
      </c>
      <c r="N25" s="457"/>
      <c r="O25" s="458"/>
      <c r="P25" s="430"/>
      <c r="Q25" s="430"/>
      <c r="R25" s="419" t="s">
        <v>41</v>
      </c>
      <c r="S25" s="420">
        <f>'Расчётные данные'!D194</f>
        <v>461.958992215748</v>
      </c>
      <c r="T25" s="408"/>
      <c r="U25" s="81"/>
      <c r="V25" s="81"/>
      <c r="W25" s="81"/>
      <c r="AD25" s="81"/>
      <c r="AE25" s="81"/>
    </row>
    <row r="26" ht="18.75" spans="2:31">
      <c r="B26" s="386"/>
      <c r="C26" s="445"/>
      <c r="D26" s="373">
        <v>5</v>
      </c>
      <c r="E26" s="373" t="s">
        <v>201</v>
      </c>
      <c r="F26" s="459">
        <f>'Расчётные данные'!D36</f>
        <v>3.16978083934556</v>
      </c>
      <c r="G26" s="459">
        <f>'Расчётные данные'!C36</f>
        <v>590.05353573347</v>
      </c>
      <c r="H26" s="459">
        <f>'Расчётные данные'!H36</f>
        <v>3.74147442451135</v>
      </c>
      <c r="I26" s="459">
        <f>'Расчётные данные'!E36</f>
        <v>29.1535577147612</v>
      </c>
      <c r="J26" s="400">
        <f>'Расчётные данные'!E61</f>
        <v>948.458110415272</v>
      </c>
      <c r="K26" s="399">
        <f>'Расчётные данные'!E102</f>
        <v>159.974316700276</v>
      </c>
      <c r="L26" s="442" t="s">
        <v>207</v>
      </c>
      <c r="M26" s="443">
        <f>'Расчётные данные'!E114</f>
        <v>705.992946410341</v>
      </c>
      <c r="N26" s="444">
        <f>'Расчётные данные'!F289</f>
        <v>0.963222451904877</v>
      </c>
      <c r="O26" s="405">
        <f>'Расчётные данные'!E150</f>
        <v>149.059495015605</v>
      </c>
      <c r="P26" s="399">
        <f>'Расчётные данные'!F166</f>
        <v>2.9328045937242</v>
      </c>
      <c r="Q26" s="399">
        <f>'Расчётные данные'!E126</f>
        <v>163.383174192003</v>
      </c>
      <c r="R26" s="406" t="s">
        <v>40</v>
      </c>
      <c r="S26" s="407">
        <f>'Расчётные данные'!F189</f>
        <v>587.236969324766</v>
      </c>
      <c r="T26" s="408"/>
      <c r="U26" s="81"/>
    </row>
    <row r="27" ht="18.75" spans="2:31">
      <c r="B27" s="386"/>
      <c r="C27" s="445"/>
      <c r="D27" s="421"/>
      <c r="E27" s="409"/>
      <c r="F27" s="410"/>
      <c r="G27" s="410"/>
      <c r="H27" s="410"/>
      <c r="I27" s="410"/>
      <c r="J27" s="412"/>
      <c r="K27" s="418"/>
      <c r="L27" s="446" t="s">
        <v>208</v>
      </c>
      <c r="M27" s="447">
        <f>'Расчётные данные'!E117</f>
        <v>867.076595077655</v>
      </c>
      <c r="N27" s="448"/>
      <c r="O27" s="417"/>
      <c r="P27" s="418"/>
      <c r="Q27" s="418"/>
      <c r="R27" s="449" t="s">
        <v>41</v>
      </c>
      <c r="S27" s="450">
        <f>'Расчётные данные'!F186</f>
        <v>593.102578512215</v>
      </c>
      <c r="T27" s="408"/>
      <c r="U27" s="81"/>
      <c r="W27" s="81"/>
      <c r="X27" s="81"/>
      <c r="Y27" s="81"/>
      <c r="Z27" s="81"/>
      <c r="AA27" s="81"/>
      <c r="AB27" s="81"/>
      <c r="AC27" s="81"/>
    </row>
    <row r="28" ht="18.75" spans="2:31">
      <c r="B28" s="386"/>
      <c r="C28" s="445"/>
      <c r="D28" s="421"/>
      <c r="E28" s="421" t="s">
        <v>204</v>
      </c>
      <c r="F28" s="410"/>
      <c r="G28" s="410"/>
      <c r="H28" s="410"/>
      <c r="I28" s="410"/>
      <c r="J28" s="411">
        <f>'Расчётные данные'!E64</f>
        <v>787.684533506343</v>
      </c>
      <c r="K28" s="451">
        <f>'Расчётные данные'!E99</f>
        <v>159.949998548506</v>
      </c>
      <c r="L28" s="446" t="s">
        <v>209</v>
      </c>
      <c r="M28" s="447">
        <f>'Расчётные данные'!E134</f>
        <v>77.8016780361545</v>
      </c>
      <c r="N28" s="448"/>
      <c r="O28" s="452">
        <f>'Расчётные данные'!E161</f>
        <v>149.928371552439</v>
      </c>
      <c r="P28" s="410">
        <f>'Расчётные данные'!F169</f>
        <v>3.57529674400666</v>
      </c>
      <c r="Q28" s="410">
        <f>'Расчётные данные'!E123</f>
        <v>162.763030675234</v>
      </c>
      <c r="R28" s="449" t="s">
        <v>40</v>
      </c>
      <c r="S28" s="450">
        <f>'Расчётные данные'!E197</f>
        <v>456.616825807997</v>
      </c>
      <c r="T28" s="408"/>
      <c r="U28" s="81"/>
    </row>
    <row r="29" ht="19.5" spans="2:31">
      <c r="B29" s="386"/>
      <c r="C29" s="460"/>
      <c r="D29" s="388"/>
      <c r="E29" s="388"/>
      <c r="F29" s="453"/>
      <c r="G29" s="453"/>
      <c r="H29" s="453"/>
      <c r="I29" s="453"/>
      <c r="J29" s="431"/>
      <c r="K29" s="454"/>
      <c r="L29" s="455" t="s">
        <v>210</v>
      </c>
      <c r="M29" s="456">
        <f>'Расчётные данные'!E137</f>
        <v>78.1851073663119</v>
      </c>
      <c r="N29" s="457"/>
      <c r="O29" s="458"/>
      <c r="P29" s="430"/>
      <c r="Q29" s="430"/>
      <c r="R29" s="419" t="s">
        <v>41</v>
      </c>
      <c r="S29" s="420">
        <f>'Расчётные данные'!E194</f>
        <v>463.76741929601</v>
      </c>
      <c r="T29" s="408"/>
      <c r="U29" s="81"/>
    </row>
    <row r="30" ht="18.75" spans="2:31">
      <c r="B30" s="386"/>
      <c r="C30" s="387"/>
      <c r="D30" s="397">
        <v>6</v>
      </c>
      <c r="E30" s="373" t="s">
        <v>201</v>
      </c>
      <c r="F30" s="461" t="s">
        <v>202</v>
      </c>
      <c r="G30" s="462">
        <f>'Расчётные данные'!C39</f>
        <v>586.29234912276</v>
      </c>
      <c r="H30" s="459" t="s">
        <v>202</v>
      </c>
      <c r="I30" s="459">
        <f>D6</f>
        <v>25.5</v>
      </c>
      <c r="J30" s="463" t="s">
        <v>211</v>
      </c>
      <c r="K30" s="1014" t="s">
        <v>202</v>
      </c>
      <c r="L30" s="464" t="s">
        <v>202</v>
      </c>
      <c r="M30" s="465"/>
      <c r="N30" s="444">
        <f>'Расчётные данные'!G289</f>
        <v>0.96110560179331</v>
      </c>
      <c r="O30" s="405">
        <f>J6-(N6*1.4142)</f>
        <v>152.929</v>
      </c>
      <c r="P30" s="399" t="s">
        <v>202</v>
      </c>
      <c r="Q30" s="399">
        <f>J6</f>
        <v>160</v>
      </c>
      <c r="R30" s="466">
        <f>H6</f>
        <v>590</v>
      </c>
      <c r="S30" s="467"/>
      <c r="T30" s="468"/>
      <c r="U30" s="81"/>
    </row>
    <row r="31" ht="19.5" spans="2:31">
      <c r="B31" s="386"/>
      <c r="C31" s="387"/>
      <c r="D31" s="390"/>
      <c r="E31" s="409"/>
      <c r="F31" s="469"/>
      <c r="G31" s="470"/>
      <c r="H31" s="410"/>
      <c r="I31" s="410"/>
      <c r="J31" s="471"/>
      <c r="K31" s="432"/>
      <c r="L31" s="472"/>
      <c r="M31" s="473"/>
      <c r="N31" s="448"/>
      <c r="O31" s="417"/>
      <c r="P31" s="418"/>
      <c r="Q31" s="418"/>
      <c r="R31" s="474"/>
      <c r="S31" s="475"/>
      <c r="T31" s="468"/>
      <c r="U31" s="81"/>
    </row>
    <row r="32" ht="18.75" spans="2:31">
      <c r="B32" s="386"/>
      <c r="C32" s="387"/>
      <c r="D32" s="390" t="s">
        <v>212</v>
      </c>
      <c r="E32" s="421" t="s">
        <v>204</v>
      </c>
      <c r="F32" s="469"/>
      <c r="G32" s="470"/>
      <c r="H32" s="410"/>
      <c r="I32" s="410"/>
      <c r="J32" s="476" t="s">
        <v>211</v>
      </c>
      <c r="K32" s="1014" t="s">
        <v>202</v>
      </c>
      <c r="L32" s="472"/>
      <c r="M32" s="473"/>
      <c r="N32" s="448"/>
      <c r="O32" s="452">
        <f>K6-(N6*1.4142)</f>
        <v>152.929</v>
      </c>
      <c r="P32" s="410" t="s">
        <v>202</v>
      </c>
      <c r="Q32" s="410">
        <f>K6</f>
        <v>160</v>
      </c>
      <c r="R32" s="477">
        <f>I6</f>
        <v>460</v>
      </c>
      <c r="S32" s="478"/>
      <c r="T32" s="468"/>
      <c r="U32" s="81"/>
    </row>
    <row r="33" ht="19.5" spans="2:30">
      <c r="B33" s="479"/>
      <c r="C33" s="480"/>
      <c r="D33" s="389" t="s">
        <v>213</v>
      </c>
      <c r="E33" s="388"/>
      <c r="F33" s="481"/>
      <c r="G33" s="482"/>
      <c r="H33" s="430"/>
      <c r="I33" s="453"/>
      <c r="J33" s="483"/>
      <c r="K33" s="432"/>
      <c r="L33" s="484"/>
      <c r="M33" s="485"/>
      <c r="N33" s="457"/>
      <c r="O33" s="458"/>
      <c r="P33" s="430"/>
      <c r="Q33" s="430"/>
      <c r="R33" s="454"/>
      <c r="S33" s="486"/>
      <c r="T33" s="468"/>
      <c r="U33" s="81"/>
    </row>
    <row r="34" ht="6" customHeight="1" spans="2:30">
      <c r="B34" s="487"/>
      <c r="C34" s="99"/>
      <c r="D34" s="488"/>
      <c r="E34" s="118"/>
      <c r="F34" s="489"/>
      <c r="G34" s="490"/>
      <c r="H34" s="490"/>
      <c r="I34" s="490"/>
      <c r="J34" s="491"/>
      <c r="K34" s="492"/>
      <c r="L34" s="493"/>
      <c r="M34" s="493"/>
      <c r="N34" s="493"/>
      <c r="O34" s="494"/>
      <c r="P34" s="490"/>
      <c r="Q34" s="490"/>
      <c r="R34" s="490"/>
      <c r="S34" s="490"/>
      <c r="T34" s="468"/>
      <c r="U34" s="81"/>
    </row>
    <row r="35" ht="15.75" customHeight="1" spans="2:30">
      <c r="B35" s="487" t="s">
        <v>214</v>
      </c>
      <c r="C35" s="99"/>
      <c r="D35" s="87" t="s">
        <v>215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468"/>
      <c r="U35" s="81"/>
    </row>
    <row r="36" ht="18" customHeight="1" spans="2:30">
      <c r="D36" s="495" t="s">
        <v>216</v>
      </c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</row>
    <row r="37" ht="23.25" customHeight="1" spans="2:30">
      <c r="I37" s="496"/>
      <c r="J37" s="496"/>
      <c r="K37" s="496"/>
      <c r="L37" s="496"/>
      <c r="M37" s="496"/>
      <c r="N37" s="496"/>
      <c r="O37" s="496"/>
    </row>
    <row r="38" ht="18.75" spans="2:30">
      <c r="B38" s="497" t="s">
        <v>7</v>
      </c>
      <c r="C38" s="397" t="s">
        <v>217</v>
      </c>
      <c r="D38" s="498" t="s">
        <v>147</v>
      </c>
      <c r="E38" s="499" t="s">
        <v>218</v>
      </c>
      <c r="F38" s="397" t="s">
        <v>219</v>
      </c>
      <c r="G38" s="397" t="s">
        <v>220</v>
      </c>
      <c r="H38" s="397" t="s">
        <v>221</v>
      </c>
      <c r="I38" s="500" t="s">
        <v>222</v>
      </c>
      <c r="J38" s="501" t="s">
        <v>223</v>
      </c>
      <c r="K38" s="501"/>
      <c r="L38" s="501"/>
      <c r="M38" s="501"/>
      <c r="N38" s="501"/>
      <c r="O38" s="501"/>
      <c r="P38" s="502"/>
      <c r="Q38" s="503"/>
      <c r="R38" s="503"/>
      <c r="U38" s="504">
        <f t="shared" ref="U38:Z38" si="0">SQRT(U40/(U41/2))</f>
        <v>0.139512947488251</v>
      </c>
      <c r="V38" s="504">
        <f t="shared" si="0"/>
        <v>0.122291477443767</v>
      </c>
      <c r="W38" s="504">
        <f t="shared" si="0"/>
        <v>0.169968342524844</v>
      </c>
      <c r="X38" s="504">
        <f t="shared" si="0"/>
        <v>0.157935491048571</v>
      </c>
      <c r="Y38" s="504">
        <f t="shared" si="0"/>
        <v>0.142586896212539</v>
      </c>
      <c r="Z38" s="504">
        <f t="shared" si="0"/>
        <v>0.0967791593203732</v>
      </c>
    </row>
    <row r="39" ht="19.5" spans="2:30">
      <c r="B39" s="505"/>
      <c r="C39" s="506" t="s">
        <v>2</v>
      </c>
      <c r="D39" s="507" t="s">
        <v>224</v>
      </c>
      <c r="E39" s="508" t="s">
        <v>225</v>
      </c>
      <c r="F39" s="506" t="s">
        <v>226</v>
      </c>
      <c r="G39" s="506" t="s">
        <v>227</v>
      </c>
      <c r="H39" s="506" t="s">
        <v>228</v>
      </c>
      <c r="I39" s="500" t="s">
        <v>229</v>
      </c>
      <c r="J39" s="501" t="s">
        <v>230</v>
      </c>
      <c r="K39" s="501"/>
      <c r="L39" s="501"/>
      <c r="M39" s="501"/>
      <c r="N39" s="501"/>
      <c r="O39" s="501"/>
      <c r="P39" s="502"/>
      <c r="Q39" s="503"/>
      <c r="R39" s="503"/>
      <c r="U39" s="509">
        <f t="shared" ref="U39:Z39" si="1">DEGREES(U38)</f>
        <v>7.99350307850703</v>
      </c>
      <c r="V39" s="509">
        <f t="shared" si="1"/>
        <v>7.00678552794718</v>
      </c>
      <c r="W39" s="509">
        <f t="shared" si="1"/>
        <v>9.73846867750749</v>
      </c>
      <c r="X39" s="509">
        <f t="shared" si="1"/>
        <v>9.04903707240931</v>
      </c>
      <c r="Y39" s="509">
        <f t="shared" si="1"/>
        <v>8.16962736684836</v>
      </c>
      <c r="Z39" s="509">
        <f t="shared" si="1"/>
        <v>5.54503737388157</v>
      </c>
    </row>
    <row r="40" ht="18.75" spans="2:30">
      <c r="B40" s="510" t="s">
        <v>231</v>
      </c>
      <c r="C40" s="511">
        <f>'Расчётные данные'!B223</f>
        <v>39.1679949644408</v>
      </c>
      <c r="D40" s="512">
        <f>'Расчётные данные'!B228</f>
        <v>30.0810201326905</v>
      </c>
      <c r="E40" s="511">
        <f>'Расчётные данные'!B234</f>
        <v>8</v>
      </c>
      <c r="F40" s="512">
        <f>'Расчётные данные'!B240</f>
        <v>154.723022443121</v>
      </c>
      <c r="G40" s="511">
        <f>'Расчётные данные'!B246</f>
        <v>2.83447943125931</v>
      </c>
      <c r="H40" s="511">
        <f>'Расчётные данные'!B252</f>
        <v>0.688887219173702</v>
      </c>
      <c r="I40" s="513" t="s">
        <v>232</v>
      </c>
      <c r="J40" s="514" t="s">
        <v>233</v>
      </c>
      <c r="K40" s="514"/>
      <c r="L40" s="514"/>
      <c r="M40" s="514"/>
      <c r="N40" s="514"/>
      <c r="O40" s="514"/>
      <c r="P40" s="515"/>
      <c r="Q40" s="516"/>
      <c r="R40" s="516"/>
      <c r="U40" s="504">
        <f>G6-Q12</f>
        <v>5.46444242469408</v>
      </c>
      <c r="V40" s="504">
        <f>Q12-Q16</f>
        <v>4.23027785735212</v>
      </c>
      <c r="W40" s="504">
        <f>Q16-Q20</f>
        <v>8.29147041370391</v>
      </c>
      <c r="X40" s="504">
        <f>Q20-Q24</f>
        <v>7.24945644252679</v>
      </c>
      <c r="Y40" s="504">
        <f>Q24-Q28</f>
        <v>5.96956415653534</v>
      </c>
      <c r="Z40" s="504">
        <f>Q28-Q32</f>
        <v>2.76303067523366</v>
      </c>
    </row>
    <row r="41" ht="19.5" spans="2:30">
      <c r="B41" s="505" t="s">
        <v>205</v>
      </c>
      <c r="C41" s="517"/>
      <c r="D41" s="518"/>
      <c r="E41" s="251"/>
      <c r="F41" s="518"/>
      <c r="G41" s="517"/>
      <c r="H41" s="251"/>
      <c r="I41" s="500" t="s">
        <v>234</v>
      </c>
      <c r="J41" s="501" t="s">
        <v>235</v>
      </c>
      <c r="K41" s="501"/>
      <c r="L41" s="501"/>
      <c r="M41" s="501"/>
      <c r="N41" s="501"/>
      <c r="O41" s="501"/>
      <c r="P41" s="519"/>
      <c r="Q41" s="516"/>
      <c r="R41" s="516"/>
      <c r="U41" s="504">
        <f>S10</f>
        <v>561.496200454648</v>
      </c>
      <c r="V41" s="504">
        <f>S14</f>
        <v>565.726478312</v>
      </c>
      <c r="W41" s="520">
        <f>S18</f>
        <v>574.017948725704</v>
      </c>
      <c r="X41" s="504">
        <f>S22</f>
        <v>581.267405168231</v>
      </c>
      <c r="Y41" s="504">
        <f>S26</f>
        <v>587.236969324766</v>
      </c>
      <c r="Z41" s="504">
        <f>R30</f>
        <v>590</v>
      </c>
    </row>
    <row r="42" ht="18.75" spans="2:30">
      <c r="B42" s="521">
        <v>2</v>
      </c>
      <c r="C42" s="522">
        <f>'Расчётные данные'!C223</f>
        <v>35.0010006129179</v>
      </c>
      <c r="D42" s="512">
        <f>'Расчётные данные'!C228</f>
        <v>33.6009605884012</v>
      </c>
      <c r="E42" s="511">
        <f>'Расчётные данные'!C234</f>
        <v>6.92908283271792</v>
      </c>
      <c r="F42" s="512">
        <f>'Расчётные данные'!C240</f>
        <v>2577.30677811725</v>
      </c>
      <c r="G42" s="511">
        <f>'Расчётные данные'!C246</f>
        <v>2.74788219252926</v>
      </c>
      <c r="H42" s="511">
        <f>'Расчётные данные'!C252</f>
        <v>11.1245922726135</v>
      </c>
      <c r="I42" s="523" t="s">
        <v>236</v>
      </c>
      <c r="J42" s="514" t="s">
        <v>237</v>
      </c>
      <c r="K42" s="514"/>
      <c r="L42" s="514"/>
      <c r="M42" s="514"/>
      <c r="N42" s="514"/>
      <c r="O42" s="514"/>
      <c r="P42" s="515"/>
      <c r="Q42" s="265"/>
      <c r="R42" s="524"/>
    </row>
    <row r="43" ht="19.5" spans="2:30">
      <c r="B43" s="506"/>
      <c r="C43" s="525"/>
      <c r="D43" s="526"/>
      <c r="E43" s="251"/>
      <c r="F43" s="526"/>
      <c r="G43" s="251"/>
      <c r="H43" s="251"/>
      <c r="I43" s="523" t="s">
        <v>238</v>
      </c>
      <c r="J43" s="514" t="s">
        <v>239</v>
      </c>
      <c r="K43" s="514"/>
      <c r="L43" s="514"/>
      <c r="M43" s="514"/>
      <c r="N43" s="514"/>
      <c r="O43" s="514"/>
      <c r="P43" s="515"/>
      <c r="Q43" s="265"/>
      <c r="R43" s="524"/>
    </row>
    <row r="44" ht="18.75" spans="2:30">
      <c r="B44" s="521">
        <v>3</v>
      </c>
      <c r="C44" s="522">
        <f>'Расчётные данные'!D223</f>
        <v>49.1432880468474</v>
      </c>
      <c r="D44" s="512">
        <f>'Расчётные данные'!D228</f>
        <v>47.1775565249735</v>
      </c>
      <c r="E44" s="511">
        <f>'Расчётные данные'!D234</f>
        <v>9.67846415353278</v>
      </c>
      <c r="F44" s="512">
        <f>'Расчётные данные'!D240</f>
        <v>2191.33469503672</v>
      </c>
      <c r="G44" s="511">
        <f>'Расчётные данные'!D246</f>
        <v>2.73207910715102</v>
      </c>
      <c r="H44" s="511">
        <f>'Расчётные данные'!D252</f>
        <v>9.40420011590244</v>
      </c>
      <c r="I44" s="527"/>
      <c r="J44" s="528"/>
      <c r="K44" s="529"/>
      <c r="L44" s="529"/>
      <c r="M44" s="528"/>
      <c r="N44" s="528"/>
      <c r="O44" s="530"/>
      <c r="P44" s="515"/>
      <c r="Q44" s="265"/>
      <c r="R44" s="524"/>
      <c r="U44" s="504">
        <f>SQRT(U46/(U47/2))</f>
        <v>0.0587220219514703</v>
      </c>
      <c r="V44" s="504">
        <f t="shared" ref="V44:AD44" si="2">SQRT(V46/(V47/2))</f>
        <v>0.08304547985374</v>
      </c>
      <c r="W44" s="504">
        <f t="shared" si="2"/>
        <v>0.101709525543122</v>
      </c>
      <c r="X44" s="504">
        <f t="shared" si="2"/>
        <v>0.117444043902941</v>
      </c>
      <c r="Y44" s="504">
        <f t="shared" si="2"/>
        <v>0.131306432859723</v>
      </c>
      <c r="Z44" s="504">
        <f t="shared" si="2"/>
        <v>0.143838990445615</v>
      </c>
      <c r="AA44" s="504">
        <f t="shared" si="2"/>
        <v>0.155363866566466</v>
      </c>
      <c r="AB44" s="504">
        <f t="shared" si="2"/>
        <v>0.16609095970748</v>
      </c>
      <c r="AC44" s="504">
        <f t="shared" si="2"/>
        <v>0.176166065854411</v>
      </c>
      <c r="AD44" s="504">
        <f t="shared" si="2"/>
        <v>0.185695338177052</v>
      </c>
    </row>
    <row r="45" ht="19.5" spans="2:30">
      <c r="B45" s="506"/>
      <c r="C45" s="525"/>
      <c r="D45" s="526"/>
      <c r="E45" s="251"/>
      <c r="F45" s="526"/>
      <c r="G45" s="251"/>
      <c r="H45" s="251"/>
      <c r="I45" s="531"/>
      <c r="J45" s="530"/>
      <c r="K45" s="530"/>
      <c r="L45" s="530"/>
      <c r="M45" s="530"/>
      <c r="N45" s="530"/>
      <c r="O45" s="530"/>
      <c r="P45" s="515"/>
      <c r="Q45" s="265"/>
      <c r="R45" s="524"/>
      <c r="U45" s="509">
        <f t="shared" ref="U45" si="3">DEGREES(U44)</f>
        <v>3.36452402229383</v>
      </c>
      <c r="V45" s="509">
        <f t="shared" ref="V45" si="4">DEGREES(V44)</f>
        <v>4.75815550325801</v>
      </c>
      <c r="W45" s="509">
        <f t="shared" ref="W45" si="5">DEGREES(W44)</f>
        <v>5.82752654989891</v>
      </c>
      <c r="X45" s="509">
        <f t="shared" ref="X45" si="6">DEGREES(X44)</f>
        <v>6.72904804458765</v>
      </c>
      <c r="Y45" s="509">
        <f t="shared" ref="Y45" si="7">DEGREES(Y44)</f>
        <v>7.52330442578001</v>
      </c>
      <c r="Z45" s="509">
        <f t="shared" ref="Z45" si="8">DEGREES(Z44)</f>
        <v>8.24136708195632</v>
      </c>
      <c r="AA45" s="509">
        <f t="shared" ref="AA45" si="9">DEGREES(AA44)</f>
        <v>8.9016938430922</v>
      </c>
      <c r="AB45" s="509">
        <f t="shared" ref="AB45" si="10">DEGREES(AB44)</f>
        <v>9.51631100651601</v>
      </c>
      <c r="AC45" s="509">
        <f t="shared" ref="AC45" si="11">DEGREES(AC44)</f>
        <v>10.0935720668815</v>
      </c>
      <c r="AD45" s="509">
        <f t="shared" ref="AD45" si="12">DEGREES(AD44)</f>
        <v>10.6395591527996</v>
      </c>
    </row>
    <row r="46" ht="18.75" customHeight="1" spans="2:30">
      <c r="B46" s="521">
        <v>4</v>
      </c>
      <c r="C46" s="522">
        <f>'Расчётные данные'!E223</f>
        <v>46.091736894654</v>
      </c>
      <c r="D46" s="512">
        <f>'Расчётные данные'!E228</f>
        <v>44.2480674188678</v>
      </c>
      <c r="E46" s="511">
        <f>'Расчётные данные'!E234</f>
        <v>9.02097897983344</v>
      </c>
      <c r="F46" s="512">
        <f>'Расчётные данные'!E240</f>
        <v>2099.57013482937</v>
      </c>
      <c r="G46" s="511">
        <f>'Расчётные данные'!E246</f>
        <v>2.71549765756819</v>
      </c>
      <c r="H46" s="511">
        <f>'Расчётные данные'!E252</f>
        <v>8.95570327925244</v>
      </c>
      <c r="I46" s="531"/>
      <c r="J46" s="530"/>
      <c r="K46" s="530"/>
      <c r="L46" s="530"/>
      <c r="M46" s="530"/>
      <c r="N46" s="530"/>
      <c r="O46" s="530"/>
      <c r="P46" s="515"/>
      <c r="Q46" s="265"/>
      <c r="R46" s="524"/>
      <c r="U46" s="504">
        <v>1</v>
      </c>
      <c r="V46" s="504">
        <v>2</v>
      </c>
      <c r="W46" s="504">
        <v>3</v>
      </c>
      <c r="X46" s="504">
        <v>4</v>
      </c>
      <c r="Y46" s="504">
        <v>5</v>
      </c>
      <c r="Z46" s="504">
        <v>6</v>
      </c>
      <c r="AA46" s="532">
        <v>7</v>
      </c>
      <c r="AB46" s="532">
        <v>8</v>
      </c>
      <c r="AC46" s="532">
        <v>9</v>
      </c>
      <c r="AD46" s="532">
        <v>10</v>
      </c>
    </row>
    <row r="47" ht="19.5" spans="2:30">
      <c r="B47" s="506"/>
      <c r="C47" s="525"/>
      <c r="D47" s="526"/>
      <c r="E47" s="251"/>
      <c r="F47" s="526"/>
      <c r="G47" s="251"/>
      <c r="H47" s="251"/>
      <c r="I47" s="531"/>
      <c r="J47" s="530"/>
      <c r="K47" s="530"/>
      <c r="L47" s="530"/>
      <c r="M47" s="530"/>
      <c r="N47" s="530"/>
      <c r="O47" s="530"/>
      <c r="P47" s="515"/>
      <c r="Q47" s="265"/>
      <c r="R47" s="524"/>
      <c r="U47" s="504">
        <v>580</v>
      </c>
      <c r="V47" s="504">
        <v>580</v>
      </c>
      <c r="W47" s="504">
        <v>580</v>
      </c>
      <c r="X47" s="504">
        <v>580</v>
      </c>
      <c r="Y47" s="504">
        <v>580</v>
      </c>
      <c r="Z47" s="504">
        <v>580</v>
      </c>
      <c r="AA47" s="504">
        <v>580</v>
      </c>
      <c r="AB47" s="504">
        <v>580</v>
      </c>
      <c r="AC47" s="504">
        <v>580</v>
      </c>
      <c r="AD47" s="504">
        <v>580</v>
      </c>
    </row>
    <row r="48" ht="15.75" spans="2:30">
      <c r="B48" s="521">
        <v>5</v>
      </c>
      <c r="C48" s="522">
        <f>'Расчётные данные'!F223</f>
        <v>41.9705630689796</v>
      </c>
      <c r="D48" s="512">
        <f>'Расчётные данные'!F228</f>
        <v>40.2917405462204</v>
      </c>
      <c r="E48" s="511">
        <f>'Расчётные данные'!F234</f>
        <v>8.15618776908138</v>
      </c>
      <c r="F48" s="512">
        <f>'Расчётные данные'!F240</f>
        <v>2027.75780644943</v>
      </c>
      <c r="G48" s="511">
        <f>'Расчётные данные'!F246</f>
        <v>2.69676540760755</v>
      </c>
      <c r="H48" s="511">
        <f>'Расчётные данные'!F252</f>
        <v>8.58972238185774</v>
      </c>
      <c r="I48" s="531"/>
      <c r="J48" s="530"/>
      <c r="K48" s="530"/>
      <c r="L48" s="530"/>
      <c r="M48" s="530"/>
      <c r="N48" s="530"/>
      <c r="O48" s="530"/>
      <c r="P48" s="515"/>
      <c r="Q48" s="265"/>
      <c r="R48" s="524"/>
    </row>
    <row r="49" ht="16.5" spans="2:18">
      <c r="B49" s="533"/>
      <c r="C49" s="525"/>
      <c r="D49" s="526"/>
      <c r="E49" s="251"/>
      <c r="F49" s="526"/>
      <c r="G49" s="251"/>
      <c r="H49" s="251"/>
      <c r="I49" s="531"/>
      <c r="J49" s="530"/>
      <c r="K49" s="530"/>
      <c r="L49" s="530"/>
      <c r="M49" s="530"/>
      <c r="N49" s="530"/>
      <c r="O49" s="530"/>
      <c r="P49" s="515"/>
      <c r="Q49" s="265"/>
      <c r="R49" s="524"/>
    </row>
    <row r="50" ht="22.5" customHeight="1" spans="2:18">
      <c r="B50" s="497" t="s">
        <v>240</v>
      </c>
      <c r="C50" s="522">
        <f>'Расчётные данные'!G223</f>
        <v>37.4208883677413</v>
      </c>
      <c r="D50" s="512">
        <f>'Расчётные данные'!G228</f>
        <v>35.9240528330316</v>
      </c>
      <c r="E50" s="511">
        <f>'Расчётные данные'!G234</f>
        <v>7.22904122587941</v>
      </c>
      <c r="F50" s="512">
        <f>'Расчётные данные'!G240</f>
        <v>1939.54295939006</v>
      </c>
      <c r="G50" s="511">
        <f>'Расчётные данные'!G246</f>
        <v>2.68130371101825</v>
      </c>
      <c r="H50" s="511">
        <f>'Расчётные данные'!G252</f>
        <v>8.16893216393715</v>
      </c>
      <c r="I50" s="531"/>
      <c r="J50" s="530"/>
      <c r="K50" s="530"/>
      <c r="L50" s="530"/>
      <c r="M50" s="530"/>
      <c r="N50" s="530"/>
      <c r="O50" s="530"/>
      <c r="P50" s="515"/>
      <c r="Q50" s="265"/>
      <c r="R50" s="524"/>
    </row>
    <row r="51" ht="20.25" customHeight="1" spans="2:18">
      <c r="B51" s="505" t="s">
        <v>213</v>
      </c>
      <c r="C51" s="525"/>
      <c r="D51" s="526"/>
      <c r="E51" s="251"/>
      <c r="F51" s="526"/>
      <c r="G51" s="251"/>
      <c r="H51" s="251"/>
      <c r="I51" s="531"/>
      <c r="J51" s="530"/>
      <c r="K51" s="530"/>
      <c r="L51" s="530"/>
      <c r="M51" s="530"/>
      <c r="N51" s="530"/>
      <c r="O51" s="530"/>
      <c r="P51" s="515"/>
      <c r="Q51" s="265"/>
      <c r="R51" s="524"/>
    </row>
    <row r="52" spans="2:18">
      <c r="F52" s="182">
        <f>SUM(F40:F51)</f>
        <v>10990.235396266</v>
      </c>
      <c r="J52" s="496"/>
      <c r="K52" s="496"/>
      <c r="L52" s="496"/>
      <c r="M52" s="496"/>
      <c r="N52" s="496"/>
      <c r="O52" s="496"/>
      <c r="P52" s="496"/>
    </row>
    <row r="54" ht="13.5"/>
    <row r="55" ht="19.5" spans="2:18">
      <c r="B55" s="534" t="s">
        <v>91</v>
      </c>
      <c r="C55" s="534"/>
      <c r="D55" s="534" t="s">
        <v>241</v>
      </c>
      <c r="E55" s="534"/>
    </row>
    <row r="56" ht="19.5" spans="2:18">
      <c r="B56" s="534"/>
      <c r="C56" s="534"/>
      <c r="D56" s="534" t="s">
        <v>242</v>
      </c>
      <c r="E56" s="534" t="s">
        <v>243</v>
      </c>
    </row>
    <row r="57" ht="19.5" spans="2:18">
      <c r="B57" s="534" t="s">
        <v>244</v>
      </c>
      <c r="C57" s="534"/>
      <c r="D57" s="534" t="s">
        <v>245</v>
      </c>
      <c r="E57" s="534" t="s">
        <v>246</v>
      </c>
    </row>
    <row r="58" ht="19.5" spans="2:18">
      <c r="B58" s="534" t="s">
        <v>247</v>
      </c>
      <c r="C58" s="534"/>
      <c r="D58" s="534" t="s">
        <v>248</v>
      </c>
      <c r="E58" s="534" t="s">
        <v>246</v>
      </c>
    </row>
    <row r="59" ht="19.5" spans="2:18">
      <c r="B59" s="534" t="s">
        <v>249</v>
      </c>
      <c r="C59" s="534"/>
      <c r="D59" s="534" t="s">
        <v>250</v>
      </c>
      <c r="E59" s="534" t="s">
        <v>246</v>
      </c>
    </row>
    <row r="69" ht="15.75" spans="3:6">
      <c r="C69" s="535">
        <f>394.7*4</f>
        <v>1578.8</v>
      </c>
    </row>
    <row r="70" ht="15.75" spans="3:6">
      <c r="C70" s="535">
        <f>392.7*4</f>
        <v>1570.8</v>
      </c>
    </row>
    <row r="71" ht="15.75" spans="3:6">
      <c r="C71" s="535">
        <f>388.3*4</f>
        <v>1553.2</v>
      </c>
    </row>
    <row r="72" ht="15.75" spans="3:6">
      <c r="C72" s="535">
        <f>386.6*4</f>
        <v>1546.4</v>
      </c>
    </row>
    <row r="73" ht="15.75" spans="3:6">
      <c r="C73" s="535">
        <f>385.5*4</f>
        <v>1542</v>
      </c>
    </row>
    <row r="74" ht="15.75" spans="3:6">
      <c r="C74" s="535">
        <f>391.4*4</f>
        <v>1565.6</v>
      </c>
    </row>
    <row r="75" spans="3:6">
      <c r="F75">
        <f>20+250+60.5+356+66.5+250+20+376</f>
        <v>1399</v>
      </c>
    </row>
  </sheetData>
  <mergeCells count="181">
    <mergeCell ref="F3:O3"/>
    <mergeCell ref="Q3:R3"/>
    <mergeCell ref="L4:N4"/>
    <mergeCell ref="R8:S8"/>
    <mergeCell ref="R9:S9"/>
    <mergeCell ref="D35:S35"/>
    <mergeCell ref="D36:S36"/>
    <mergeCell ref="J38:O38"/>
    <mergeCell ref="J39:O39"/>
    <mergeCell ref="J40:O40"/>
    <mergeCell ref="J41:O41"/>
    <mergeCell ref="J42:O42"/>
    <mergeCell ref="J43:O43"/>
    <mergeCell ref="D55:E55"/>
    <mergeCell ref="B57:C57"/>
    <mergeCell ref="B58:C58"/>
    <mergeCell ref="B59:C59"/>
    <mergeCell ref="B8:B33"/>
    <mergeCell ref="B38:B39"/>
    <mergeCell ref="B42:B43"/>
    <mergeCell ref="B44:B45"/>
    <mergeCell ref="B46:B47"/>
    <mergeCell ref="B48:B49"/>
    <mergeCell ref="C8:C13"/>
    <mergeCell ref="C14:C29"/>
    <mergeCell ref="C30:C33"/>
    <mergeCell ref="C40:C41"/>
    <mergeCell ref="C42:C43"/>
    <mergeCell ref="C44:C45"/>
    <mergeCell ref="C46:C47"/>
    <mergeCell ref="C48:C49"/>
    <mergeCell ref="C50:C51"/>
    <mergeCell ref="D8:D9"/>
    <mergeCell ref="D10:D11"/>
    <mergeCell ref="D14:D17"/>
    <mergeCell ref="D18:D21"/>
    <mergeCell ref="D22:D25"/>
    <mergeCell ref="D26:D29"/>
    <mergeCell ref="D30:D31"/>
    <mergeCell ref="D40:D41"/>
    <mergeCell ref="D42:D43"/>
    <mergeCell ref="D44:D45"/>
    <mergeCell ref="D46:D47"/>
    <mergeCell ref="D48:D49"/>
    <mergeCell ref="D50:D51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40:E41"/>
    <mergeCell ref="E42:E43"/>
    <mergeCell ref="E44:E45"/>
    <mergeCell ref="E46:E47"/>
    <mergeCell ref="E48:E49"/>
    <mergeCell ref="E50:E51"/>
    <mergeCell ref="F4:F5"/>
    <mergeCell ref="F10:F13"/>
    <mergeCell ref="F14:F17"/>
    <mergeCell ref="F18:F21"/>
    <mergeCell ref="F22:F25"/>
    <mergeCell ref="F26:F29"/>
    <mergeCell ref="F30:F33"/>
    <mergeCell ref="F40:F41"/>
    <mergeCell ref="F42:F43"/>
    <mergeCell ref="F44:F45"/>
    <mergeCell ref="F46:F47"/>
    <mergeCell ref="F48:F49"/>
    <mergeCell ref="F50:F51"/>
    <mergeCell ref="G10:G13"/>
    <mergeCell ref="G14:G17"/>
    <mergeCell ref="G18:G21"/>
    <mergeCell ref="G22:G25"/>
    <mergeCell ref="G26:G29"/>
    <mergeCell ref="G30:G33"/>
    <mergeCell ref="G40:G41"/>
    <mergeCell ref="G42:G43"/>
    <mergeCell ref="G44:G45"/>
    <mergeCell ref="G46:G47"/>
    <mergeCell ref="G48:G49"/>
    <mergeCell ref="G50:G51"/>
    <mergeCell ref="H10:H13"/>
    <mergeCell ref="H14:H17"/>
    <mergeCell ref="H18:H21"/>
    <mergeCell ref="H22:H25"/>
    <mergeCell ref="H26:H29"/>
    <mergeCell ref="H30:H33"/>
    <mergeCell ref="H40:H41"/>
    <mergeCell ref="H42:H43"/>
    <mergeCell ref="H44:H45"/>
    <mergeCell ref="H46:H47"/>
    <mergeCell ref="H48:H49"/>
    <mergeCell ref="H50:H51"/>
    <mergeCell ref="I10:I13"/>
    <mergeCell ref="I14:I17"/>
    <mergeCell ref="I18:I21"/>
    <mergeCell ref="I22:I25"/>
    <mergeCell ref="I26:I29"/>
    <mergeCell ref="I30:I3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N8:N9"/>
    <mergeCell ref="N14:N17"/>
    <mergeCell ref="N18:N21"/>
    <mergeCell ref="N22:N25"/>
    <mergeCell ref="N26:N29"/>
    <mergeCell ref="N30:N3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G1:M2"/>
    <mergeCell ref="B55:C56"/>
    <mergeCell ref="L8:M9"/>
    <mergeCell ref="R12:S13"/>
    <mergeCell ref="L30:M33"/>
    <mergeCell ref="R32:S33"/>
    <mergeCell ref="R30:S31"/>
    <mergeCell ref="L10:M13"/>
  </mergeCells>
  <printOptions horizontalCentered="1"/>
  <pageMargins left="0.78740157480315" right="0.393700787401575" top="0.590551181102362" bottom="0.590551181102362" header="0.511811023622047" footer="0.511811023622047"/>
  <pageSetup paperSize="9" scale="6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097"/>
  <sheetViews>
    <sheetView zoomScale="75" zoomScaleNormal="75" topLeftCell="A220" workbookViewId="0">
      <selection activeCell="B228" sqref="B228"/>
    </sheetView>
  </sheetViews>
  <sheetFormatPr defaultColWidth="9" defaultRowHeight="12.75"/>
  <cols>
    <col min="1" max="1" width="3.71111111111111" customWidth="1"/>
    <col min="2" max="2" width="15" customWidth="1"/>
    <col min="3" max="3" width="11.7111111111111" customWidth="1"/>
    <col min="4" max="6" width="14.4222222222222" customWidth="1"/>
    <col min="7" max="7" width="15.7111111111111" customWidth="1"/>
    <col min="8" max="8" width="10" customWidth="1"/>
    <col min="9" max="9" width="8.56666666666667" customWidth="1"/>
    <col min="10" max="10" width="8" customWidth="1"/>
    <col min="11" max="11" width="9.28888888888889" customWidth="1"/>
  </cols>
  <sheetData>
    <row r="2" spans="1:12">
      <c r="K2" s="81"/>
      <c r="L2" s="81"/>
    </row>
    <row r="3" ht="20.25" spans="1:12">
      <c r="A3" s="81"/>
      <c r="B3" s="82"/>
      <c r="C3" s="82"/>
      <c r="D3" s="83" t="s">
        <v>251</v>
      </c>
      <c r="E3" s="83"/>
      <c r="F3" s="83"/>
      <c r="G3" s="83"/>
      <c r="H3" s="82"/>
      <c r="I3" s="82"/>
      <c r="J3" s="84"/>
      <c r="K3" s="85"/>
      <c r="L3" s="81"/>
    </row>
    <row r="4" ht="13.5" spans="1:12">
      <c r="A4" s="81"/>
      <c r="B4" s="81"/>
      <c r="C4" s="81"/>
      <c r="D4" s="81"/>
      <c r="E4" s="81"/>
      <c r="F4" s="81"/>
      <c r="G4" s="81"/>
      <c r="H4" s="81"/>
      <c r="I4" s="81"/>
      <c r="J4" s="86"/>
      <c r="K4" s="86"/>
      <c r="L4" s="81"/>
    </row>
    <row r="5" ht="19.5" spans="1:12">
      <c r="A5" s="81"/>
      <c r="B5" s="87"/>
      <c r="C5" s="88" t="s">
        <v>252</v>
      </c>
      <c r="D5" s="87"/>
      <c r="E5" s="87"/>
      <c r="F5" s="88" t="s">
        <v>253</v>
      </c>
      <c r="G5" s="87"/>
      <c r="H5" s="89" t="s">
        <v>254</v>
      </c>
      <c r="I5" s="89" t="s">
        <v>255</v>
      </c>
      <c r="J5" s="86"/>
      <c r="K5" s="86"/>
      <c r="L5" s="81"/>
    </row>
    <row r="6" ht="13.5" spans="1:12">
      <c r="A6" s="81"/>
      <c r="B6" s="90"/>
      <c r="C6" s="91">
        <f>ВНИТИ!G6</f>
        <v>193.968241970046</v>
      </c>
      <c r="D6" s="92"/>
      <c r="E6" s="93"/>
      <c r="F6" s="94">
        <f>ВНИТИ!I6</f>
        <v>460</v>
      </c>
      <c r="G6" s="93"/>
      <c r="H6" s="95">
        <f>ВНИТИ!M6</f>
        <v>10</v>
      </c>
      <c r="I6" s="96">
        <f>ВНИТИ!N6</f>
        <v>5</v>
      </c>
      <c r="J6" s="86"/>
      <c r="K6" s="86"/>
      <c r="L6" s="81"/>
    </row>
    <row r="7" spans="1:12">
      <c r="A7" s="81"/>
      <c r="B7" s="97"/>
      <c r="C7" s="97"/>
      <c r="D7" s="92"/>
      <c r="E7" s="92"/>
      <c r="F7" s="92"/>
      <c r="G7" s="92"/>
      <c r="H7" s="98"/>
      <c r="I7" s="92"/>
      <c r="J7" s="86"/>
      <c r="K7" s="86"/>
      <c r="L7" s="81"/>
    </row>
    <row r="8" spans="1:12">
      <c r="A8" s="81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</row>
    <row r="9" ht="15.75" spans="1:12">
      <c r="A9" s="81"/>
      <c r="B9" s="100" t="s">
        <v>256</v>
      </c>
      <c r="C9" s="100"/>
      <c r="D9" s="100"/>
      <c r="E9" s="100"/>
      <c r="F9" s="100"/>
      <c r="G9" s="100"/>
      <c r="H9" s="100"/>
      <c r="I9" s="100"/>
      <c r="J9" s="100"/>
      <c r="K9" s="81"/>
      <c r="L9" s="81"/>
    </row>
    <row r="10" ht="13.5" spans="1:12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</row>
    <row r="11" ht="19.5" spans="1:12">
      <c r="A11" s="81"/>
      <c r="B11" s="101" t="s">
        <v>51</v>
      </c>
      <c r="C11" s="102" t="s">
        <v>63</v>
      </c>
      <c r="D11" s="103" t="s">
        <v>257</v>
      </c>
      <c r="E11" s="104" t="s">
        <v>258</v>
      </c>
      <c r="F11" s="105"/>
      <c r="G11" s="90"/>
      <c r="H11" s="87"/>
      <c r="I11" s="87"/>
      <c r="J11" s="87"/>
      <c r="K11" s="57"/>
      <c r="L11" s="81"/>
    </row>
    <row r="12" ht="13.5" spans="1:12">
      <c r="A12" s="81"/>
      <c r="B12" s="106">
        <f>ВНИТИ!J6</f>
        <v>160</v>
      </c>
      <c r="C12" s="107">
        <f>ВНИТИ!K6</f>
        <v>160</v>
      </c>
      <c r="D12" s="108">
        <f>ВНИТИ!C6</f>
        <v>12</v>
      </c>
      <c r="E12" s="107">
        <f>(B12+C12)/PI()</f>
        <v>101.859163578813</v>
      </c>
      <c r="H12" s="105"/>
      <c r="I12" s="105"/>
      <c r="J12" s="109"/>
      <c r="K12" s="57"/>
      <c r="L12" s="81"/>
    </row>
    <row r="13" spans="1:12">
      <c r="A13" s="81"/>
      <c r="B13" s="110"/>
      <c r="C13" s="110"/>
      <c r="D13" s="110"/>
      <c r="E13" s="110"/>
      <c r="F13" s="110"/>
      <c r="G13" s="110"/>
      <c r="H13" s="110"/>
      <c r="I13" s="110"/>
      <c r="J13" s="111"/>
      <c r="K13" s="57"/>
      <c r="L13" s="81"/>
    </row>
    <row r="14" spans="1:12">
      <c r="A14" s="81"/>
      <c r="B14" s="110"/>
      <c r="C14" s="110"/>
      <c r="D14" s="110"/>
      <c r="E14" s="110"/>
      <c r="F14" s="110"/>
      <c r="G14" s="110"/>
      <c r="H14" s="110"/>
      <c r="I14" s="57"/>
      <c r="J14" s="57"/>
      <c r="K14" s="57"/>
      <c r="L14" s="57"/>
    </row>
    <row r="15" ht="15.75" spans="1:12">
      <c r="A15" s="81"/>
      <c r="B15" s="112" t="s">
        <v>259</v>
      </c>
      <c r="C15" s="112"/>
      <c r="D15" s="112"/>
      <c r="E15" s="112"/>
      <c r="F15" s="112"/>
      <c r="G15" s="112"/>
      <c r="H15" s="112"/>
      <c r="I15" s="112"/>
      <c r="J15" s="112"/>
      <c r="K15" s="112"/>
      <c r="L15" s="57"/>
    </row>
    <row r="16" ht="13.5" spans="1:12">
      <c r="A16" s="81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ht="16.5" spans="1:12">
      <c r="A17" s="81"/>
      <c r="B17" s="113" t="s">
        <v>260</v>
      </c>
      <c r="C17" s="114" t="s">
        <v>261</v>
      </c>
      <c r="D17" s="115" t="s">
        <v>262</v>
      </c>
      <c r="E17" s="114" t="s">
        <v>263</v>
      </c>
      <c r="F17" s="115" t="s">
        <v>264</v>
      </c>
      <c r="G17" s="114" t="s">
        <v>265</v>
      </c>
      <c r="H17" s="115" t="s">
        <v>266</v>
      </c>
      <c r="I17" s="114" t="s">
        <v>267</v>
      </c>
      <c r="J17" s="115" t="s">
        <v>268</v>
      </c>
      <c r="K17" s="114" t="s">
        <v>269</v>
      </c>
      <c r="L17" s="53"/>
    </row>
    <row r="18" ht="13.5" spans="1:12">
      <c r="A18" s="81"/>
      <c r="B18" s="116">
        <f>ВНИТИ!B6</f>
        <v>4</v>
      </c>
      <c r="C18" s="107">
        <f>(((ВНИТИ!G6-D12)/2)/(POWER((ВНИТИ!G6-D12)/(2*ВНИТИ!E6-D12),1/B18)))+D12/2</f>
        <v>70.6217382688228</v>
      </c>
      <c r="D18" s="108">
        <f>POWER((ВНИТИ!G6-D12)/(2*ВНИТИ!E6-D12),1/B18)</f>
        <v>1.40794914253984</v>
      </c>
      <c r="E18" s="107">
        <f>(((ВНИТИ!G6-D12)/2))</f>
        <v>90.984120985023</v>
      </c>
      <c r="F18" s="108">
        <f>(E18/D18)+(D12/2)</f>
        <v>70.6217382688228</v>
      </c>
      <c r="G18" s="107">
        <f>(F18-D12/2)/D18+D12/2</f>
        <v>51.8977787736351</v>
      </c>
      <c r="H18" s="108">
        <f>(G18-D12/2)/D18+D12/2</f>
        <v>38.5990317312447</v>
      </c>
      <c r="I18" s="107">
        <f>(H18-D12/2)/D18+D12/2</f>
        <v>29.1535577147612</v>
      </c>
      <c r="J18" s="108">
        <f>(I18-D12/2)/D18+D12/2</f>
        <v>22.4448821446731</v>
      </c>
      <c r="K18" s="107">
        <f>(J18-D12/2)/D18+D12/2</f>
        <v>17.6800256826093</v>
      </c>
      <c r="L18" s="53"/>
    </row>
    <row r="19" spans="1:12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3"/>
    </row>
    <row r="20" spans="1:12"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3"/>
    </row>
    <row r="21" spans="1:12"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3"/>
    </row>
    <row r="22" ht="20.25" spans="1:12">
      <c r="B22" s="117" t="s">
        <v>270</v>
      </c>
      <c r="C22" s="117"/>
      <c r="D22" s="117"/>
      <c r="E22" s="117"/>
      <c r="F22" s="117"/>
      <c r="G22" s="117"/>
      <c r="H22" s="117"/>
      <c r="I22" s="53"/>
      <c r="J22" s="53"/>
      <c r="K22" s="53"/>
      <c r="L22" s="53"/>
    </row>
    <row r="23" spans="1:12">
      <c r="B23" s="57"/>
      <c r="C23" s="57"/>
      <c r="D23" s="57"/>
      <c r="E23" s="57"/>
      <c r="F23" s="57"/>
      <c r="G23" s="57"/>
      <c r="H23" s="57"/>
      <c r="I23" s="53"/>
      <c r="J23" s="53"/>
      <c r="K23" s="53"/>
      <c r="L23" s="53"/>
    </row>
    <row r="24" ht="18.75" spans="1:12">
      <c r="B24" s="118" t="s">
        <v>271</v>
      </c>
      <c r="C24" s="118"/>
      <c r="D24" s="118"/>
      <c r="E24" s="118"/>
      <c r="F24" s="118"/>
      <c r="G24" s="118"/>
      <c r="H24" s="118"/>
      <c r="I24" s="53"/>
      <c r="J24" s="53"/>
      <c r="K24" s="53"/>
      <c r="L24" s="53"/>
    </row>
    <row r="25" ht="15" spans="1:12">
      <c r="B25" s="57"/>
      <c r="C25" s="11"/>
      <c r="D25" s="11"/>
      <c r="E25" s="11"/>
      <c r="F25" s="11"/>
      <c r="G25" s="11"/>
      <c r="H25" s="57"/>
      <c r="I25" s="53"/>
      <c r="J25" s="53"/>
      <c r="K25" s="53"/>
      <c r="L25" s="53"/>
    </row>
    <row r="26" ht="13.5" spans="1:12">
      <c r="B26" s="119" t="s">
        <v>272</v>
      </c>
      <c r="C26" s="120" t="s">
        <v>273</v>
      </c>
      <c r="D26" s="121" t="s">
        <v>274</v>
      </c>
      <c r="E26" s="120" t="s">
        <v>275</v>
      </c>
      <c r="F26" s="122" t="s">
        <v>276</v>
      </c>
      <c r="G26" s="123">
        <v>1</v>
      </c>
      <c r="H26" s="124" t="s">
        <v>277</v>
      </c>
      <c r="I26" s="53"/>
      <c r="J26" s="53"/>
      <c r="K26" s="53"/>
      <c r="L26" s="53"/>
    </row>
    <row r="27" ht="13.5" spans="1:12">
      <c r="B27" s="106">
        <f>(SQRT(((1/E27)-(1/F27))*D12))*D12*3</f>
        <v>7.73688133064777</v>
      </c>
      <c r="C27" s="107">
        <f>ВНИТИ!G6*PI()-B27</f>
        <v>601.632322672176</v>
      </c>
      <c r="D27" s="108">
        <f>(((SQRT((1/E27-1/F27)*D12))*D12*3)/(ВНИТИ!G6*PI()))*100</f>
        <v>1.26965414067953</v>
      </c>
      <c r="E27" s="107">
        <f>F18</f>
        <v>70.6217382688228</v>
      </c>
      <c r="F27" s="108">
        <f>ВНИТИ!G6/2</f>
        <v>96.984120985023</v>
      </c>
      <c r="G27" s="125"/>
      <c r="H27" s="126">
        <f>ВНИТИ!G10-'Расчётные данные'!C27</f>
        <v>7.73688133064775</v>
      </c>
      <c r="I27" s="53"/>
      <c r="J27" s="53"/>
      <c r="K27" s="53"/>
      <c r="L27" s="53"/>
    </row>
    <row r="28" ht="15" spans="1:12">
      <c r="B28" s="110"/>
      <c r="C28" s="110"/>
      <c r="D28" s="110"/>
      <c r="E28" s="110"/>
      <c r="F28" s="110"/>
      <c r="G28" s="127"/>
      <c r="H28" s="110"/>
      <c r="I28" s="53"/>
      <c r="J28" s="53"/>
      <c r="K28" s="53"/>
      <c r="L28" s="53"/>
    </row>
    <row r="29" ht="13.5" spans="1:12">
      <c r="B29" s="119" t="s">
        <v>278</v>
      </c>
      <c r="C29" s="120" t="s">
        <v>279</v>
      </c>
      <c r="D29" s="121" t="s">
        <v>274</v>
      </c>
      <c r="E29" s="120" t="s">
        <v>280</v>
      </c>
      <c r="F29" s="120" t="s">
        <v>276</v>
      </c>
      <c r="G29" s="128">
        <v>2</v>
      </c>
      <c r="H29" s="124" t="s">
        <v>281</v>
      </c>
      <c r="I29" s="53"/>
      <c r="J29" s="53"/>
      <c r="K29" s="53"/>
      <c r="L29" s="53"/>
    </row>
    <row r="30" ht="13.5" spans="1:12">
      <c r="B30" s="106">
        <f>(SQRT(((1/E30)-(1/F30))*D12))*D12*3</f>
        <v>11.8029596693574</v>
      </c>
      <c r="C30" s="107">
        <f>ВНИТИ!G6*PI()-B30</f>
        <v>597.566244333466</v>
      </c>
      <c r="D30" s="108">
        <f>(((SQRT((1/E30-1/F30)*D12))*D12*3)/(ВНИТИ!G6*PI()))*100</f>
        <v>1.93691436846925</v>
      </c>
      <c r="E30" s="107">
        <f>G18</f>
        <v>51.8977787736351</v>
      </c>
      <c r="F30" s="107">
        <f>ВНИТИ!G6/2</f>
        <v>96.984120985023</v>
      </c>
      <c r="G30" s="129"/>
      <c r="H30" s="107">
        <f>C27-C30</f>
        <v>4.06607833870964</v>
      </c>
      <c r="I30" s="53"/>
      <c r="J30" s="53"/>
      <c r="K30" s="53"/>
      <c r="L30" s="53"/>
    </row>
    <row r="31" ht="15" spans="1:12">
      <c r="B31" s="110"/>
      <c r="C31" s="110"/>
      <c r="D31" s="110"/>
      <c r="E31" s="110"/>
      <c r="F31" s="110"/>
      <c r="G31" s="127"/>
      <c r="H31" s="110"/>
      <c r="I31" s="53"/>
      <c r="J31" s="53"/>
      <c r="K31" s="53"/>
      <c r="L31" s="53"/>
    </row>
    <row r="32" ht="13.5" spans="1:12">
      <c r="B32" s="120" t="s">
        <v>282</v>
      </c>
      <c r="C32" s="130" t="s">
        <v>283</v>
      </c>
      <c r="D32" s="131" t="s">
        <v>274</v>
      </c>
      <c r="E32" s="130" t="s">
        <v>284</v>
      </c>
      <c r="F32" s="120" t="s">
        <v>276</v>
      </c>
      <c r="G32" s="128">
        <v>3</v>
      </c>
      <c r="H32" s="124" t="s">
        <v>285</v>
      </c>
      <c r="I32" s="53"/>
      <c r="J32" s="53"/>
      <c r="K32" s="53"/>
      <c r="L32" s="53"/>
    </row>
    <row r="33" ht="13.5" spans="2:12">
      <c r="B33" s="107">
        <f>(SQRT(((1/E33)-(1/F33))*D12))*D12*3</f>
        <v>15.5741938448427</v>
      </c>
      <c r="C33" s="108">
        <f>ВНИТИ!G6*PI()-B33</f>
        <v>593.795010157981</v>
      </c>
      <c r="D33" s="107">
        <f>(((SQRT((1/E33-1/F33)*D12))*D12*3)/(ВНИТИ!G6*PI()))*100</f>
        <v>2.5557894528537</v>
      </c>
      <c r="E33" s="108">
        <f>H18</f>
        <v>38.5990317312447</v>
      </c>
      <c r="F33" s="107">
        <f>ВНИТИ!G6/2</f>
        <v>96.984120985023</v>
      </c>
      <c r="G33" s="129"/>
      <c r="H33" s="107">
        <f>C30-C33</f>
        <v>3.77123417548535</v>
      </c>
      <c r="I33" s="53"/>
      <c r="J33" s="53"/>
      <c r="K33" s="53"/>
      <c r="L33" s="53"/>
    </row>
    <row r="34" ht="15" spans="2:12">
      <c r="B34" s="110"/>
      <c r="C34" s="110"/>
      <c r="D34" s="110"/>
      <c r="E34" s="110"/>
      <c r="F34" s="110"/>
      <c r="G34" s="127"/>
      <c r="H34" s="110"/>
      <c r="I34" s="53"/>
      <c r="J34" s="53"/>
      <c r="K34" s="53"/>
      <c r="L34" s="53"/>
    </row>
    <row r="35" ht="13.5" spans="2:12">
      <c r="B35" s="120" t="s">
        <v>286</v>
      </c>
      <c r="C35" s="130" t="s">
        <v>287</v>
      </c>
      <c r="D35" s="131" t="s">
        <v>274</v>
      </c>
      <c r="E35" s="130" t="s">
        <v>288</v>
      </c>
      <c r="F35" s="120" t="s">
        <v>276</v>
      </c>
      <c r="G35" s="123">
        <v>4</v>
      </c>
      <c r="H35" s="124" t="s">
        <v>289</v>
      </c>
      <c r="I35" s="53"/>
      <c r="J35" s="53"/>
      <c r="K35" s="53"/>
      <c r="L35" s="53"/>
    </row>
    <row r="36" ht="13.5" spans="2:12">
      <c r="B36" s="107">
        <f>(SQRT(((1/E36)-(1/F36))*D12))*D12*3</f>
        <v>19.315668269354</v>
      </c>
      <c r="C36" s="108">
        <f>ВНИТИ!G6*PI()-B36</f>
        <v>590.05353573347</v>
      </c>
      <c r="D36" s="107">
        <f>(((SQRT((1/E36-1/F36)*D12))*D12*3)/(ВНИТИ!G6*PI()))*100</f>
        <v>3.16978083934556</v>
      </c>
      <c r="E36" s="108">
        <f>I18</f>
        <v>29.1535577147612</v>
      </c>
      <c r="F36" s="107">
        <f>ВНИТИ!G6/2</f>
        <v>96.984120985023</v>
      </c>
      <c r="G36" s="125"/>
      <c r="H36" s="126">
        <f>C33-C36</f>
        <v>3.74147442451135</v>
      </c>
      <c r="I36" s="53"/>
      <c r="J36" s="53"/>
      <c r="K36" s="53"/>
      <c r="L36" s="53"/>
    </row>
    <row r="37" ht="15" spans="2:12">
      <c r="B37" s="110"/>
      <c r="C37" s="110"/>
      <c r="D37" s="110"/>
      <c r="E37" s="110"/>
      <c r="F37" s="110"/>
      <c r="G37" s="127"/>
      <c r="H37" s="110"/>
      <c r="I37" s="53"/>
      <c r="J37" s="53"/>
      <c r="K37" s="53"/>
      <c r="L37" s="53"/>
    </row>
    <row r="38" ht="13.5" spans="2:12">
      <c r="B38" s="119" t="s">
        <v>290</v>
      </c>
      <c r="C38" s="120" t="s">
        <v>291</v>
      </c>
      <c r="D38" s="121" t="s">
        <v>274</v>
      </c>
      <c r="E38" s="120" t="s">
        <v>292</v>
      </c>
      <c r="F38" s="122" t="s">
        <v>276</v>
      </c>
      <c r="G38" s="123">
        <v>5</v>
      </c>
      <c r="H38" s="124" t="s">
        <v>293</v>
      </c>
      <c r="I38" s="53"/>
      <c r="J38" s="53"/>
      <c r="K38" s="53"/>
      <c r="L38" s="53"/>
    </row>
    <row r="39" ht="13.5" spans="2:12">
      <c r="B39" s="106">
        <f>(SQRT(((1/E39)-(1/F39))*D12))*D12*3</f>
        <v>23.0768548800631</v>
      </c>
      <c r="C39" s="107">
        <f>ВНИТИ!G6*PI()-B39</f>
        <v>586.29234912276</v>
      </c>
      <c r="D39" s="108">
        <f>(((SQRT((1/E39-1/F39)*D12))*D12*3)/(ВНИТИ!G6*PI()))*100</f>
        <v>3.78700707690443</v>
      </c>
      <c r="E39" s="107">
        <f>J18</f>
        <v>22.4448821446731</v>
      </c>
      <c r="F39" s="108">
        <f>ВНИТИ!G6/2</f>
        <v>96.984120985023</v>
      </c>
      <c r="G39" s="125"/>
      <c r="H39" s="126">
        <f>C36-C39</f>
        <v>3.76118661070905</v>
      </c>
      <c r="I39" s="53"/>
      <c r="J39" s="53"/>
      <c r="K39" s="53"/>
      <c r="L39" s="53"/>
    </row>
    <row r="40" ht="15" spans="2:12">
      <c r="B40" s="110"/>
      <c r="C40" s="110"/>
      <c r="D40" s="110"/>
      <c r="E40" s="110"/>
      <c r="F40" s="110"/>
      <c r="G40" s="127"/>
      <c r="H40" s="110"/>
      <c r="I40" s="53"/>
      <c r="J40" s="53"/>
      <c r="K40" s="53"/>
      <c r="L40" s="53"/>
    </row>
    <row r="41" ht="13.5" customHeight="1" spans="2:12">
      <c r="B41" s="119" t="s">
        <v>294</v>
      </c>
      <c r="C41" s="120" t="s">
        <v>295</v>
      </c>
      <c r="D41" s="121" t="s">
        <v>274</v>
      </c>
      <c r="E41" s="120" t="s">
        <v>296</v>
      </c>
      <c r="F41" s="130" t="s">
        <v>276</v>
      </c>
      <c r="G41" s="123">
        <v>6</v>
      </c>
      <c r="H41" s="124" t="s">
        <v>297</v>
      </c>
      <c r="I41" s="53"/>
      <c r="J41" s="53"/>
      <c r="K41" s="53"/>
      <c r="L41" s="53"/>
    </row>
    <row r="42" ht="13.5" customHeight="1" spans="2:12">
      <c r="B42" s="106">
        <f>(SQRT(((1/E42)-(1/F42))*D12))*D12*3</f>
        <v>26.8194068513629</v>
      </c>
      <c r="C42" s="107">
        <f>ВНИТИ!G6*PI()-B42</f>
        <v>582.549797151461</v>
      </c>
      <c r="D42" s="108">
        <f>(((SQRT((1/E42-1/F42)*D12))*D12*3)/(ВНИТИ!G6*PI()))*100</f>
        <v>4.4011752932691</v>
      </c>
      <c r="E42" s="107">
        <f>K18</f>
        <v>17.6800256826093</v>
      </c>
      <c r="F42" s="108">
        <f>ВНИТИ!G6/2</f>
        <v>96.984120985023</v>
      </c>
      <c r="G42" s="125"/>
      <c r="H42" s="126">
        <f>C39-C42</f>
        <v>3.74255197129969</v>
      </c>
      <c r="I42" s="53"/>
      <c r="J42" s="53"/>
      <c r="K42" s="53"/>
      <c r="L42" s="53"/>
    </row>
    <row r="43" spans="2:12">
      <c r="B43" s="132"/>
      <c r="C43" s="132"/>
      <c r="D43" s="132"/>
      <c r="E43" s="132"/>
      <c r="F43" s="57"/>
      <c r="G43" s="57"/>
      <c r="H43" s="57"/>
      <c r="I43" s="53"/>
      <c r="J43" s="53"/>
      <c r="K43" s="53"/>
      <c r="L43" s="53"/>
    </row>
    <row r="44" spans="2:12"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ht="18.75" spans="2:12">
      <c r="B45" s="133" t="s">
        <v>298</v>
      </c>
      <c r="C45" s="133"/>
      <c r="D45" s="133"/>
      <c r="E45" s="133"/>
      <c r="F45" s="133"/>
      <c r="G45" s="133"/>
      <c r="H45" s="133"/>
      <c r="I45" s="133"/>
      <c r="J45" s="133"/>
      <c r="K45" s="134"/>
      <c r="L45" s="134"/>
    </row>
    <row r="46" ht="18.75" spans="2:12">
      <c r="B46" s="135" t="s">
        <v>299</v>
      </c>
      <c r="C46" s="135"/>
      <c r="D46" s="135"/>
      <c r="E46" s="135"/>
      <c r="F46" s="53"/>
      <c r="G46" s="53"/>
      <c r="H46" s="53"/>
      <c r="I46" s="53"/>
      <c r="J46" s="53"/>
      <c r="K46" s="53"/>
      <c r="L46" s="53"/>
    </row>
    <row r="47" ht="13.5" spans="2:12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ht="13.5" spans="2:12">
      <c r="B48" s="136" t="s">
        <v>300</v>
      </c>
      <c r="C48" s="137" t="s">
        <v>301</v>
      </c>
      <c r="D48" s="53"/>
      <c r="E48" s="53"/>
      <c r="F48" s="53"/>
      <c r="G48" s="53"/>
      <c r="H48" s="53"/>
      <c r="I48" s="53"/>
      <c r="J48" s="53"/>
      <c r="K48" s="53"/>
      <c r="L48" s="53"/>
    </row>
    <row r="49" ht="13.5" spans="2:12">
      <c r="B49" s="106">
        <f>(B12*(1/(1/((ATAN((POWER((ВНИТИ!H6/B12),2)/10))*180/PI())*(((1/ВНИТИ!D6-1/(C6/2))/20)*B12))+0.06)))/1.2</f>
        <v>948.45811041527</v>
      </c>
      <c r="C49" s="107">
        <f>(C12*(1/(1/((ATAN((POWER((F6/C12),2)/10))*180/PI())*(((1/ВНИТИ!D6-1/(C6/2))/20)*C12))+0.06)))/1.2</f>
        <v>787.684533506342</v>
      </c>
      <c r="D49" s="53"/>
      <c r="E49" s="53"/>
      <c r="F49" s="53"/>
      <c r="G49" s="53"/>
      <c r="H49" s="53"/>
      <c r="I49" s="53"/>
      <c r="J49" s="53"/>
      <c r="K49" s="53"/>
      <c r="L49" s="53"/>
    </row>
    <row r="50" spans="2:12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  <row r="51" ht="18.75" spans="2:12">
      <c r="B51" s="133" t="s">
        <v>302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</row>
    <row r="52" ht="18.75" spans="2:12">
      <c r="B52" s="135" t="s">
        <v>303</v>
      </c>
      <c r="C52" s="135"/>
      <c r="D52" s="135"/>
      <c r="E52" s="135"/>
      <c r="F52" s="135"/>
      <c r="G52" s="133"/>
      <c r="H52" s="133"/>
      <c r="I52" s="133"/>
      <c r="J52" s="133"/>
      <c r="K52" s="133"/>
      <c r="L52" s="133"/>
    </row>
    <row r="53" ht="13.5" spans="2:12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ht="13.5" spans="2:12">
      <c r="B54" s="138" t="s">
        <v>304</v>
      </c>
      <c r="C54" s="139" t="s">
        <v>305</v>
      </c>
      <c r="D54" s="53"/>
      <c r="E54" s="53"/>
      <c r="F54" s="53"/>
      <c r="G54" s="53"/>
      <c r="H54" s="53"/>
      <c r="I54" s="53"/>
      <c r="J54" s="53"/>
      <c r="K54" s="53"/>
      <c r="L54" s="53"/>
    </row>
    <row r="55" ht="13.5" spans="2:12">
      <c r="B55" s="140">
        <f>(LOG10(B49/F27))/B18</f>
        <v>0.247579380170138</v>
      </c>
      <c r="C55" s="141">
        <f>(LOG10(C49/F27))/B18</f>
        <v>0.227412921021535</v>
      </c>
      <c r="D55" s="53"/>
      <c r="E55" s="53"/>
      <c r="F55" s="53"/>
      <c r="G55" s="53"/>
      <c r="H55" s="53"/>
      <c r="I55" s="53"/>
      <c r="J55" s="53"/>
      <c r="K55" s="53"/>
      <c r="L55" s="53"/>
    </row>
    <row r="56" spans="2:12">
      <c r="B56" s="57"/>
      <c r="C56" s="57"/>
      <c r="D56" s="53"/>
      <c r="E56" s="53"/>
      <c r="F56" s="53"/>
      <c r="G56" s="53"/>
      <c r="H56" s="53"/>
      <c r="I56" s="53"/>
      <c r="J56" s="53"/>
      <c r="K56" s="53"/>
      <c r="L56" s="53"/>
    </row>
    <row r="57" ht="18.75" spans="2:12">
      <c r="B57" s="133" t="s">
        <v>306</v>
      </c>
      <c r="C57" s="133"/>
      <c r="D57" s="133"/>
      <c r="E57" s="133"/>
      <c r="F57" s="53"/>
      <c r="G57" s="53"/>
      <c r="H57" s="53"/>
      <c r="I57" s="53"/>
      <c r="J57" s="53"/>
      <c r="K57" s="53"/>
      <c r="L57" s="53"/>
    </row>
    <row r="58" spans="2:12">
      <c r="B58" s="57"/>
      <c r="C58" s="57"/>
      <c r="D58" s="53"/>
      <c r="E58" s="53"/>
      <c r="F58" s="53"/>
      <c r="G58" s="53"/>
      <c r="H58" s="53"/>
      <c r="I58" s="53"/>
      <c r="J58" s="53"/>
      <c r="K58" s="53"/>
      <c r="L58" s="53"/>
    </row>
    <row r="59" ht="13.5" spans="2:12"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ht="16.5" spans="2:12">
      <c r="B60" s="142" t="s">
        <v>307</v>
      </c>
      <c r="C60" s="62" t="s">
        <v>308</v>
      </c>
      <c r="D60" s="62" t="s">
        <v>309</v>
      </c>
      <c r="E60" s="62" t="s">
        <v>310</v>
      </c>
      <c r="F60" s="62" t="s">
        <v>311</v>
      </c>
      <c r="G60" s="62" t="s">
        <v>312</v>
      </c>
      <c r="H60" s="143" t="s">
        <v>313</v>
      </c>
      <c r="I60" s="144"/>
      <c r="J60" s="144"/>
      <c r="K60" s="144"/>
      <c r="L60" s="53"/>
    </row>
    <row r="61" ht="13.5" spans="2:12">
      <c r="B61" s="145">
        <f>POWER(10,(B55+LOG10(F27)))</f>
        <v>171.50627485801</v>
      </c>
      <c r="C61" s="146">
        <f>POWER(10,LOG10(B61)+B55)</f>
        <v>303.290910067778</v>
      </c>
      <c r="D61" s="146">
        <f>POWER(10,LOG10(C61)+B55)</f>
        <v>536.338254713397</v>
      </c>
      <c r="E61" s="146">
        <f>POWER(10,LOG10(D61)+B55)</f>
        <v>948.458110415272</v>
      </c>
      <c r="F61" s="146">
        <f>POWER(10,LOG10(E61)+B55)</f>
        <v>1677.24897358517</v>
      </c>
      <c r="G61" s="146">
        <f>POWER(10,LOG10(F61)+B55)</f>
        <v>2966.0393943606</v>
      </c>
      <c r="H61" s="53"/>
      <c r="I61" s="53"/>
      <c r="J61" s="53"/>
      <c r="K61" s="53"/>
      <c r="L61" s="53"/>
    </row>
    <row r="62" ht="13.5" spans="2:12">
      <c r="B62" s="147"/>
      <c r="C62" s="147"/>
      <c r="D62" s="147"/>
      <c r="E62" s="147"/>
      <c r="F62" s="147"/>
      <c r="G62" s="147"/>
      <c r="H62" s="53"/>
      <c r="I62" s="53"/>
      <c r="J62" s="53"/>
      <c r="K62" s="53"/>
      <c r="L62" s="53"/>
    </row>
    <row r="63" ht="16.5" spans="2:12">
      <c r="B63" s="62" t="s">
        <v>314</v>
      </c>
      <c r="C63" s="62" t="s">
        <v>315</v>
      </c>
      <c r="D63" s="62" t="s">
        <v>316</v>
      </c>
      <c r="E63" s="62" t="s">
        <v>317</v>
      </c>
      <c r="F63" s="62" t="s">
        <v>318</v>
      </c>
      <c r="G63" s="62" t="s">
        <v>319</v>
      </c>
      <c r="H63" s="143" t="s">
        <v>320</v>
      </c>
      <c r="I63" s="144"/>
      <c r="J63" s="144"/>
      <c r="K63" s="144"/>
      <c r="L63" s="53"/>
    </row>
    <row r="64" ht="13.5" spans="2:12">
      <c r="B64" s="146">
        <f>POWER(10,(C55+LOG10(F30)))</f>
        <v>163.724455568104</v>
      </c>
      <c r="C64" s="146">
        <f>POWER(10,(C55+LOG10(B64)))</f>
        <v>276.392641174852</v>
      </c>
      <c r="D64" s="146">
        <f>POWER(10,(C55+LOG10(C64)))</f>
        <v>466.594265533128</v>
      </c>
      <c r="E64" s="146">
        <f>POWER(10,(C55+LOG10(D64)))</f>
        <v>787.684533506343</v>
      </c>
      <c r="F64" s="146">
        <f>POWER(10,(C55+LOG10(E64)))</f>
        <v>1329.73542573693</v>
      </c>
      <c r="G64" s="146">
        <f>POWER(10,(C55+LOG10(F64)))</f>
        <v>2244.80261734826</v>
      </c>
      <c r="H64" s="53"/>
      <c r="I64" s="53"/>
      <c r="J64" s="53"/>
      <c r="K64" s="53"/>
      <c r="L64" s="53"/>
    </row>
    <row r="65" spans="2:13">
      <c r="B65" s="57"/>
      <c r="C65" s="57"/>
      <c r="D65" s="53"/>
      <c r="E65" s="53"/>
      <c r="F65" s="53"/>
      <c r="G65" s="53"/>
      <c r="H65" s="53"/>
      <c r="I65" s="53"/>
      <c r="J65" s="53"/>
      <c r="K65" s="53"/>
      <c r="L65" s="53"/>
    </row>
    <row r="66" spans="2:13"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</row>
    <row r="67" ht="20.25" spans="2:13">
      <c r="B67" s="148" t="s">
        <v>321</v>
      </c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</row>
    <row r="68" ht="20.25" spans="2:13">
      <c r="B68" s="148" t="s">
        <v>322</v>
      </c>
      <c r="C68" s="148"/>
      <c r="D68" s="148"/>
      <c r="E68" s="148"/>
      <c r="F68" s="148"/>
      <c r="G68" s="148"/>
      <c r="H68" s="148"/>
      <c r="I68" s="148"/>
      <c r="J68" s="148"/>
      <c r="K68" s="149"/>
      <c r="L68" s="149"/>
    </row>
    <row r="69" ht="20.25" spans="2:13">
      <c r="B69" s="148" t="s">
        <v>323</v>
      </c>
      <c r="C69" s="148"/>
      <c r="D69" s="148"/>
      <c r="E69" s="148"/>
      <c r="F69" s="148"/>
      <c r="G69" s="148"/>
      <c r="H69" s="148"/>
      <c r="I69" s="149"/>
      <c r="J69" s="149"/>
      <c r="K69" s="149"/>
      <c r="L69" s="149"/>
    </row>
    <row r="70" ht="13.5" spans="2:13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</row>
    <row r="71" ht="13.5" spans="2:13">
      <c r="B71" s="150" t="s">
        <v>136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</row>
    <row r="72" ht="13.5" spans="2:13">
      <c r="B72" s="107">
        <f>2*(B12+C12)-1.72*ВНИТИ!E6</f>
        <v>589.855880730611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</row>
    <row r="73" ht="13.5" spans="2:13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ht="13.5" spans="2:13">
      <c r="B74" s="62" t="s">
        <v>324</v>
      </c>
      <c r="C74" s="62" t="s">
        <v>325</v>
      </c>
      <c r="D74" s="62" t="s">
        <v>326</v>
      </c>
      <c r="E74" s="62" t="s">
        <v>327</v>
      </c>
      <c r="F74" s="62" t="s">
        <v>328</v>
      </c>
      <c r="G74" s="62" t="s">
        <v>329</v>
      </c>
      <c r="H74" s="53"/>
      <c r="I74" s="53"/>
      <c r="J74" s="53"/>
      <c r="K74" s="53"/>
      <c r="L74" s="53"/>
    </row>
    <row r="75" ht="13.5" spans="2:13">
      <c r="B75" s="146">
        <f>(C27+1.72*F18)/(2*(B12/C12+1))</f>
        <v>180.775428123638</v>
      </c>
      <c r="C75" s="146">
        <f>(C30+1.72*G18)/(2*(B12/C12+1))</f>
        <v>171.70760595603</v>
      </c>
      <c r="D75" s="146">
        <f>(C33+1.72*H18)/(2*(B12/C12+1))</f>
        <v>165.04633618393</v>
      </c>
      <c r="E75" s="146">
        <f>(C36+1.72*I18)/(2*(B12/C12+1))</f>
        <v>160.049413750715</v>
      </c>
      <c r="F75" s="146">
        <f>(C39+1.72*J18)/(2*(B12/C12+1))</f>
        <v>156.2243866029</v>
      </c>
      <c r="G75" s="146">
        <f>(C42+1.72*K18)/(2*(B12/C12+1))</f>
        <v>153.239860331387</v>
      </c>
      <c r="H75" s="53"/>
      <c r="I75" s="53"/>
      <c r="J75" s="53"/>
      <c r="K75" s="53"/>
      <c r="L75" s="53"/>
    </row>
    <row r="76" ht="13.5" spans="2:13"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</row>
    <row r="77" ht="13.5" spans="2:13">
      <c r="B77" s="142" t="s">
        <v>330</v>
      </c>
      <c r="C77" s="62" t="s">
        <v>331</v>
      </c>
      <c r="D77" s="62" t="s">
        <v>332</v>
      </c>
      <c r="E77" s="151" t="s">
        <v>333</v>
      </c>
      <c r="F77" s="62" t="s">
        <v>334</v>
      </c>
      <c r="G77" s="152" t="s">
        <v>335</v>
      </c>
      <c r="H77" s="53"/>
      <c r="I77" s="53"/>
      <c r="J77" s="53"/>
      <c r="K77" s="53"/>
      <c r="L77" s="53"/>
    </row>
    <row r="78" ht="13.5" spans="2:13">
      <c r="B78" s="145">
        <f>B75*(B12/C12)</f>
        <v>180.775428123638</v>
      </c>
      <c r="C78" s="146">
        <f>C75*(B12/C12)</f>
        <v>171.70760595603</v>
      </c>
      <c r="D78" s="146">
        <f>D75*(B12/C12)</f>
        <v>165.04633618393</v>
      </c>
      <c r="E78" s="153">
        <f>E75*(B12/C12)</f>
        <v>160.049413750715</v>
      </c>
      <c r="F78" s="146">
        <f>F75*(B12/C12)</f>
        <v>156.2243866029</v>
      </c>
      <c r="G78" s="154">
        <f>G75*(B12/C12)</f>
        <v>153.239860331387</v>
      </c>
      <c r="H78" s="53"/>
      <c r="I78" s="53"/>
      <c r="J78" s="53"/>
      <c r="K78" s="53"/>
      <c r="L78" s="53"/>
    </row>
    <row r="79" ht="13.5" spans="2:13">
      <c r="B79" s="155"/>
      <c r="C79" s="155"/>
      <c r="D79" s="155"/>
      <c r="E79" s="155"/>
      <c r="F79" s="155"/>
      <c r="G79" s="155"/>
      <c r="H79" s="53"/>
      <c r="I79" s="53"/>
      <c r="J79" s="53"/>
      <c r="K79" s="53"/>
      <c r="L79" s="53"/>
    </row>
    <row r="80" ht="13.5" spans="2:13">
      <c r="B80" s="156" t="s">
        <v>336</v>
      </c>
      <c r="C80" s="156" t="s">
        <v>337</v>
      </c>
      <c r="D80" s="156" t="s">
        <v>338</v>
      </c>
      <c r="E80" s="156" t="s">
        <v>339</v>
      </c>
      <c r="F80" s="156" t="s">
        <v>340</v>
      </c>
      <c r="G80" s="156" t="s">
        <v>341</v>
      </c>
      <c r="H80" s="53"/>
      <c r="I80" s="53"/>
      <c r="J80" s="53"/>
      <c r="K80" s="53"/>
      <c r="L80" s="53"/>
    </row>
    <row r="81" ht="13.5" spans="2:12">
      <c r="B81" s="146">
        <f>((B75-C12)+(B78-B12))/2</f>
        <v>20.7754281236377</v>
      </c>
      <c r="C81" s="146">
        <f>((C75-C12)+(C78-B12))/2</f>
        <v>11.7076059560296</v>
      </c>
      <c r="D81" s="146">
        <f>((D75-C12)+(D78-B12))/2</f>
        <v>5.04633618393046</v>
      </c>
      <c r="E81" s="146">
        <f>((E75-C12)+(E78-B12))/2</f>
        <v>0.0494137507147059</v>
      </c>
      <c r="F81" s="146">
        <f>((F75-C12)+(F78-B12))/2</f>
        <v>-3.77561339710044</v>
      </c>
      <c r="G81" s="146">
        <f>((G75-C12)+(G78-B12))/2</f>
        <v>-6.76013966861279</v>
      </c>
      <c r="H81" s="53"/>
      <c r="I81" s="53"/>
      <c r="J81" s="53"/>
      <c r="K81" s="53"/>
      <c r="L81" s="53"/>
    </row>
    <row r="82" spans="2:12">
      <c r="B82" s="57"/>
      <c r="C82" s="57"/>
      <c r="D82" s="57"/>
      <c r="E82" s="57"/>
      <c r="F82" s="57"/>
      <c r="G82" s="57"/>
      <c r="H82" s="53"/>
      <c r="I82" s="53"/>
      <c r="J82" s="53"/>
      <c r="K82" s="53"/>
      <c r="L82" s="53"/>
    </row>
    <row r="83" ht="18.75" spans="2:12">
      <c r="B83" s="135" t="s">
        <v>342</v>
      </c>
      <c r="C83" s="135"/>
      <c r="D83" s="135"/>
      <c r="E83" s="135"/>
      <c r="F83" s="135"/>
      <c r="G83" s="135"/>
      <c r="H83" s="135"/>
      <c r="I83" s="53"/>
      <c r="J83" s="53"/>
      <c r="K83" s="53"/>
      <c r="L83" s="53"/>
    </row>
    <row r="84" ht="18.75" spans="2:12">
      <c r="B84" s="135" t="s">
        <v>343</v>
      </c>
      <c r="C84" s="135"/>
      <c r="D84" s="135"/>
      <c r="E84" s="135"/>
      <c r="F84" s="135"/>
      <c r="G84" s="135"/>
      <c r="H84" s="135"/>
      <c r="I84" s="53"/>
      <c r="J84" s="53"/>
      <c r="K84" s="53"/>
      <c r="L84" s="53"/>
    </row>
    <row r="85" ht="19.5" spans="2:12">
      <c r="B85" s="135"/>
      <c r="C85" s="135"/>
      <c r="D85" s="135"/>
      <c r="E85" s="135"/>
      <c r="F85" s="135"/>
      <c r="G85" s="135"/>
      <c r="H85" s="135"/>
      <c r="I85" s="53"/>
      <c r="J85" s="53"/>
      <c r="K85" s="53"/>
      <c r="L85" s="53"/>
    </row>
    <row r="86" ht="19.5" spans="2:12">
      <c r="B86" s="157" t="s">
        <v>344</v>
      </c>
      <c r="C86" s="157" t="s">
        <v>345</v>
      </c>
      <c r="D86" s="158"/>
      <c r="E86" s="159"/>
      <c r="F86" s="158"/>
      <c r="G86" s="158"/>
      <c r="H86" s="135"/>
      <c r="I86" s="53"/>
      <c r="J86" s="53"/>
      <c r="K86" s="53"/>
      <c r="L86" s="53"/>
    </row>
    <row r="87" ht="19.5" spans="2:12">
      <c r="B87" s="160">
        <f>(ВНИТИ!J6-ВНИТИ!E6*(2-(PI()/2)))/(ВНИТИ!K6-ВНИТИ!E6*(2-(PI()/2)))</f>
        <v>1</v>
      </c>
      <c r="C87" s="161">
        <f>2*B87+2</f>
        <v>4</v>
      </c>
      <c r="D87" s="158"/>
      <c r="E87" s="159"/>
      <c r="F87" s="158"/>
      <c r="G87" s="158"/>
      <c r="H87" s="135"/>
      <c r="I87" s="53"/>
      <c r="J87" s="53"/>
      <c r="K87" s="53"/>
      <c r="L87" s="53"/>
    </row>
    <row r="88" ht="19.5" spans="2:12">
      <c r="B88" s="158"/>
      <c r="C88" s="158"/>
      <c r="D88" s="158"/>
      <c r="E88" s="158"/>
      <c r="F88" s="158"/>
      <c r="G88" s="158"/>
      <c r="H88" s="135"/>
      <c r="I88" s="53"/>
      <c r="J88" s="53"/>
      <c r="K88" s="53"/>
      <c r="L88" s="53"/>
    </row>
    <row r="89" ht="19.5" spans="2:12">
      <c r="B89" s="162" t="s">
        <v>346</v>
      </c>
      <c r="C89" s="162" t="s">
        <v>347</v>
      </c>
      <c r="D89" s="162" t="s">
        <v>348</v>
      </c>
      <c r="E89" s="162" t="s">
        <v>349</v>
      </c>
      <c r="F89" s="162" t="s">
        <v>350</v>
      </c>
      <c r="G89" s="157" t="s">
        <v>351</v>
      </c>
      <c r="H89" s="135"/>
      <c r="I89" s="53"/>
      <c r="J89" s="53"/>
      <c r="K89" s="53"/>
      <c r="L89" s="53"/>
    </row>
    <row r="90" ht="19.5" spans="2:12">
      <c r="B90" s="163">
        <f>B64-$E$27</f>
        <v>93.1027172992808</v>
      </c>
      <c r="C90" s="163">
        <f>C64-E30</f>
        <v>224.494862401217</v>
      </c>
      <c r="D90" s="163">
        <f>D64-E33</f>
        <v>427.995233801884</v>
      </c>
      <c r="E90" s="163">
        <f>E64-E36</f>
        <v>758.530975791582</v>
      </c>
      <c r="F90" s="163">
        <f>F64-E39</f>
        <v>1307.29054359226</v>
      </c>
      <c r="G90" s="164">
        <f>G64-E42</f>
        <v>2227.12259166565</v>
      </c>
      <c r="H90" s="135"/>
      <c r="I90" s="53"/>
      <c r="J90" s="53"/>
      <c r="K90" s="53"/>
      <c r="L90" s="53"/>
    </row>
    <row r="91" ht="19.5" spans="2:12">
      <c r="B91" s="165"/>
      <c r="C91" s="165"/>
      <c r="D91" s="165"/>
      <c r="E91" s="165"/>
      <c r="F91" s="165"/>
      <c r="G91" s="165"/>
      <c r="H91" s="135"/>
      <c r="I91" s="53"/>
      <c r="J91" s="53"/>
      <c r="K91" s="53"/>
      <c r="L91" s="53"/>
    </row>
    <row r="92" ht="19.5" spans="2:12">
      <c r="B92" s="166" t="s">
        <v>352</v>
      </c>
      <c r="C92" s="166" t="s">
        <v>353</v>
      </c>
      <c r="D92" s="166" t="s">
        <v>354</v>
      </c>
      <c r="E92" s="166" t="s">
        <v>355</v>
      </c>
      <c r="F92" s="166" t="s">
        <v>356</v>
      </c>
      <c r="G92" s="167" t="s">
        <v>357</v>
      </c>
      <c r="H92" s="135"/>
      <c r="I92" s="53"/>
      <c r="J92" s="53"/>
      <c r="K92" s="53"/>
      <c r="L92" s="53"/>
    </row>
    <row r="93" ht="19.5" spans="2:12">
      <c r="B93" s="163">
        <f>B61-$E$27</f>
        <v>100.884536589187</v>
      </c>
      <c r="C93" s="163">
        <f>C61-E30</f>
        <v>251.393131294143</v>
      </c>
      <c r="D93" s="163">
        <f>D61-E33</f>
        <v>497.739222982152</v>
      </c>
      <c r="E93" s="163">
        <f>E61-E36</f>
        <v>919.304552700511</v>
      </c>
      <c r="F93" s="163">
        <f>F61-E39</f>
        <v>1654.8040914405</v>
      </c>
      <c r="G93" s="168">
        <f>G61-E42</f>
        <v>2948.35936867799</v>
      </c>
      <c r="H93" s="135"/>
      <c r="I93" s="53"/>
      <c r="J93" s="53"/>
      <c r="K93" s="53"/>
      <c r="L93" s="53"/>
    </row>
    <row r="94" ht="18.75" spans="2:12">
      <c r="B94" s="169"/>
      <c r="C94" s="169"/>
      <c r="D94" s="169"/>
      <c r="E94" s="169"/>
      <c r="F94" s="169"/>
      <c r="G94" s="169"/>
      <c r="H94" s="135"/>
      <c r="I94" s="53"/>
      <c r="J94" s="53"/>
      <c r="K94" s="53"/>
      <c r="L94" s="53"/>
    </row>
    <row r="95" ht="18.75" spans="2:12">
      <c r="B95" s="169"/>
      <c r="C95" s="169"/>
      <c r="D95" s="169"/>
      <c r="E95" s="169"/>
      <c r="F95" s="169"/>
      <c r="G95" s="169"/>
      <c r="H95" s="135"/>
      <c r="I95" s="53"/>
      <c r="J95" s="53"/>
      <c r="K95" s="53"/>
      <c r="L95" s="53"/>
    </row>
    <row r="96" ht="15.75" spans="2:12">
      <c r="B96" s="170" t="s">
        <v>358</v>
      </c>
      <c r="C96" s="170"/>
      <c r="D96" s="170"/>
      <c r="E96" s="170"/>
      <c r="F96" s="170"/>
      <c r="G96" s="170"/>
      <c r="H96" s="53"/>
      <c r="I96" s="53"/>
      <c r="J96" s="53"/>
      <c r="K96" s="53"/>
      <c r="L96" s="53"/>
    </row>
    <row r="97" ht="13.5" spans="2:17"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ht="13.5" spans="2:17">
      <c r="B98" s="171" t="s">
        <v>359</v>
      </c>
      <c r="C98" s="171" t="s">
        <v>360</v>
      </c>
      <c r="D98" s="171" t="s">
        <v>361</v>
      </c>
      <c r="E98" s="171" t="s">
        <v>362</v>
      </c>
      <c r="F98" s="171" t="s">
        <v>363</v>
      </c>
      <c r="G98" s="172" t="s">
        <v>364</v>
      </c>
      <c r="H98" s="53"/>
      <c r="I98" s="53"/>
      <c r="J98" s="53"/>
      <c r="K98" s="53"/>
      <c r="L98" s="53"/>
    </row>
    <row r="99" ht="13.5" spans="2:17">
      <c r="B99" s="107">
        <f>((SIN(((((('Расчётные данные'!$C$27/$C$87)/PI())-('Расчётные данные'!$E$27/2))*90)/$B$90)*PI()/180))*$B$90+$E$27)*2</f>
        <v>180.424152106033</v>
      </c>
      <c r="C99" s="107">
        <f>((SIN(((((($C$30/$C$87)/PI())-($E$30/2))*90)/$C$90)*PI()/180))*$C$90+$E$30)*2</f>
        <v>171.408095670079</v>
      </c>
      <c r="D99" s="107">
        <f>((SIN(((((($C$33/$C$87)/PI())-($E$33/2))*90)/$D$90)*PI()/180))*$D$90+$E$33)*2</f>
        <v>164.861632299058</v>
      </c>
      <c r="E99" s="107">
        <f>((SIN(((((($C$36/$C$87)/PI())-($E$36/2))*90)/$E$90)*PI()/180))*$E$90+$E$36)*2</f>
        <v>159.949998548506</v>
      </c>
      <c r="F99" s="107">
        <f>((SIN(((((($C$39/$C$87)/PI())-($E$39/2))*90)/$F$90)*PI()/180))*$F$90+$E$39)*2</f>
        <v>156.172886252201</v>
      </c>
      <c r="G99" s="107">
        <f>((SIN((((((C42/$C$87)/PI())-(E42/2))*90)/G90)*PI()/180))*G90+E42)*2</f>
        <v>153.212026653474</v>
      </c>
      <c r="H99" s="53"/>
      <c r="I99" s="53"/>
      <c r="J99" s="53"/>
      <c r="K99" s="53"/>
      <c r="L99" s="53"/>
    </row>
    <row r="100" ht="13.5" spans="2:17"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</row>
    <row r="101" ht="13.5" spans="2:17">
      <c r="B101" s="171" t="s">
        <v>365</v>
      </c>
      <c r="C101" s="171" t="s">
        <v>366</v>
      </c>
      <c r="D101" s="171" t="s">
        <v>367</v>
      </c>
      <c r="E101" s="171" t="s">
        <v>368</v>
      </c>
      <c r="F101" s="171" t="s">
        <v>369</v>
      </c>
      <c r="G101" s="171" t="s">
        <v>370</v>
      </c>
      <c r="H101" s="53"/>
      <c r="I101" s="53"/>
      <c r="J101" s="53"/>
      <c r="K101" s="53"/>
      <c r="L101" s="53"/>
    </row>
    <row r="102" ht="13.5" spans="2:17">
      <c r="B102" s="146">
        <f>((SIN((((((($C$27*$B$87)/$C$87)/PI())-($E$27/2))*90)/$B$93)*PI()/180))*$B$93+$E$27)*2</f>
        <v>180.46782891688</v>
      </c>
      <c r="C102" s="146">
        <f>((SIN((((((($C$30*$B$87)/$C$87)/PI())-($E$30/2))*90)/$C$93)*PI()/180))*$C$93+$E$30)*2</f>
        <v>171.460341719754</v>
      </c>
      <c r="D102" s="146">
        <f>((SIN((((((($C$33*$B$87)/$C$87)/PI())-($E$33/2))*90)/$D$93)*PI()/180))*$D$93+$E$33)*2</f>
        <v>164.901741731807</v>
      </c>
      <c r="E102" s="146">
        <f>((SIN((((((($C$36*$B$87)/$C$87)/PI())-($E$36/2))*90)/$E$93)*PI()/180))*$E$93+$E$36)*2</f>
        <v>159.974316700276</v>
      </c>
      <c r="F102" s="146">
        <f>((SIN((((((($C$39*$B$87)/$C$87)/PI())-($E$39/2))*90)/$F$93)*PI()/180))*$F$93+$E$39)*2</f>
        <v>156.185526035545</v>
      </c>
      <c r="G102" s="146">
        <f>((SIN(((((((C42*$B$87)/$C$87)/PI())-(E42/2))*90)/G93)*PI()/180))*G93+E42)*2</f>
        <v>153.217932839321</v>
      </c>
      <c r="H102" s="173" t="s">
        <v>371</v>
      </c>
      <c r="I102" s="174"/>
      <c r="J102" s="174"/>
      <c r="K102" s="174"/>
      <c r="L102" s="174"/>
      <c r="M102" s="174"/>
      <c r="N102" s="175"/>
      <c r="O102" s="175"/>
      <c r="P102" s="175"/>
      <c r="Q102" s="175"/>
    </row>
    <row r="103" spans="2:17">
      <c r="B103" s="53"/>
      <c r="C103" s="53"/>
      <c r="D103" s="53"/>
      <c r="E103" s="53"/>
      <c r="F103" s="53"/>
      <c r="G103" s="53"/>
      <c r="H103" s="176"/>
      <c r="I103" s="176"/>
      <c r="J103" s="176"/>
      <c r="K103" s="176"/>
      <c r="L103" s="176"/>
      <c r="M103" s="175"/>
      <c r="N103" s="175"/>
      <c r="O103" s="175"/>
      <c r="P103" s="175"/>
      <c r="Q103" s="175"/>
    </row>
    <row r="104" spans="2:17">
      <c r="B104" s="53"/>
      <c r="C104" s="53"/>
      <c r="D104" s="53"/>
      <c r="E104" s="53"/>
      <c r="F104" s="53"/>
      <c r="G104" s="53"/>
      <c r="H104" s="176"/>
      <c r="I104" s="176"/>
      <c r="J104" s="176"/>
      <c r="K104" s="176"/>
      <c r="L104" s="176"/>
      <c r="M104" s="175"/>
      <c r="N104" s="175"/>
      <c r="O104" s="175"/>
      <c r="P104" s="175"/>
      <c r="Q104" s="175"/>
    </row>
    <row r="105" ht="20.25" spans="2:17">
      <c r="B105" s="177" t="s">
        <v>372</v>
      </c>
      <c r="C105" s="177"/>
      <c r="D105" s="177"/>
      <c r="E105" s="177"/>
      <c r="F105" s="177"/>
      <c r="G105" s="177"/>
      <c r="H105" s="176"/>
      <c r="I105" s="176"/>
      <c r="J105" s="176"/>
      <c r="K105" s="176"/>
      <c r="L105" s="176"/>
      <c r="M105" s="175"/>
      <c r="N105" s="175" t="s">
        <v>373</v>
      </c>
      <c r="O105" s="175"/>
      <c r="P105" s="175"/>
      <c r="Q105" s="175"/>
    </row>
    <row r="106" ht="15" spans="2:17">
      <c r="B106" s="178"/>
      <c r="C106" s="53"/>
      <c r="D106" s="53"/>
      <c r="E106" s="53"/>
      <c r="F106" s="53"/>
      <c r="G106" s="53"/>
      <c r="H106" s="179"/>
      <c r="I106" s="176"/>
      <c r="J106" s="176"/>
      <c r="K106" s="176"/>
      <c r="L106" s="176"/>
      <c r="M106" s="175"/>
      <c r="N106" s="175" t="s">
        <v>374</v>
      </c>
      <c r="O106" s="175"/>
      <c r="P106" s="175"/>
      <c r="Q106" s="175"/>
    </row>
    <row r="107" ht="13.5" spans="2:17">
      <c r="B107" s="180" t="s">
        <v>375</v>
      </c>
      <c r="C107" s="180" t="s">
        <v>376</v>
      </c>
      <c r="D107" s="180" t="s">
        <v>377</v>
      </c>
      <c r="E107" s="180" t="s">
        <v>378</v>
      </c>
      <c r="F107" s="180" t="s">
        <v>379</v>
      </c>
      <c r="G107" s="180" t="s">
        <v>380</v>
      </c>
      <c r="H107" s="181"/>
      <c r="I107" s="176"/>
      <c r="J107" s="176"/>
      <c r="K107" s="176"/>
      <c r="L107" s="176"/>
      <c r="M107" s="175"/>
      <c r="N107" s="182">
        <f>N105/N106</f>
        <v>1.05232558139535</v>
      </c>
      <c r="O107" s="175"/>
      <c r="P107" s="175"/>
      <c r="Q107" s="175"/>
    </row>
    <row r="108" ht="13.5" spans="2:17">
      <c r="B108" s="183">
        <f>(B64-E27)*(COS(ASIN((B99/2-E27)/(B64-E27))))</f>
        <v>91.0183203207518</v>
      </c>
      <c r="C108" s="183">
        <f>(C64-E30)*(COS(ASIN((C99/2-E30)/(C64-E30))))</f>
        <v>221.934853992538</v>
      </c>
      <c r="D108" s="183">
        <f>(D64-E33)*(COS(ASIN((D99/2-E33)/(D64-E33))))</f>
        <v>425.744870587818</v>
      </c>
      <c r="E108" s="183">
        <f>(E64-E36)*(COS(ASIN((E99/2-E36)/(E64-E36))))</f>
        <v>756.826547045718</v>
      </c>
      <c r="F108" s="183">
        <f>(F64-E39)*(COS(ASIN((F99/2-E39)/(F64-E39))))</f>
        <v>1306.10588470357</v>
      </c>
      <c r="G108" s="183">
        <f>(G64-E42)*(COS(ASIN((G99/2-E42)/(G64-E42))))</f>
        <v>2226.34291300502</v>
      </c>
      <c r="H108" s="179"/>
      <c r="I108" s="176"/>
      <c r="J108" s="176"/>
      <c r="K108" s="176"/>
      <c r="L108" s="176"/>
      <c r="M108" s="175"/>
      <c r="N108" s="175"/>
      <c r="O108" s="175"/>
      <c r="P108" s="175"/>
      <c r="Q108" s="175"/>
    </row>
    <row r="109" ht="13.5" spans="2:17">
      <c r="B109" s="184"/>
      <c r="C109" s="184"/>
      <c r="D109" s="184"/>
      <c r="E109" s="184"/>
      <c r="F109" s="184"/>
      <c r="G109" s="184"/>
      <c r="H109" s="176"/>
      <c r="I109" s="176"/>
      <c r="J109" s="176"/>
      <c r="K109" s="176"/>
      <c r="L109" s="176"/>
      <c r="M109" s="175"/>
      <c r="N109" s="175"/>
      <c r="O109" s="175"/>
      <c r="P109" s="175"/>
      <c r="Q109" s="175"/>
    </row>
    <row r="110" ht="13.5" spans="2:17">
      <c r="B110" s="185" t="s">
        <v>381</v>
      </c>
      <c r="C110" s="185" t="s">
        <v>382</v>
      </c>
      <c r="D110" s="185" t="s">
        <v>383</v>
      </c>
      <c r="E110" s="185" t="s">
        <v>384</v>
      </c>
      <c r="F110" s="185" t="s">
        <v>385</v>
      </c>
      <c r="G110" s="185" t="s">
        <v>386</v>
      </c>
      <c r="H110" s="176"/>
      <c r="I110" s="176"/>
      <c r="J110" s="176"/>
      <c r="K110" s="176"/>
      <c r="L110" s="176"/>
      <c r="M110" s="175"/>
      <c r="N110" s="175"/>
      <c r="O110" s="175"/>
      <c r="P110" s="175"/>
      <c r="Q110" s="175"/>
    </row>
    <row r="111" ht="13.5" spans="2:17">
      <c r="B111" s="183">
        <f>(B61-$E27)*(COS(ASIN((B102/2-$E27)/(B61-$E27))))</f>
        <v>98.9598517982034</v>
      </c>
      <c r="C111" s="183">
        <f>(C61-$E30)*(COS(ASIN((C102/2-$E30)/(C61-$E30))))</f>
        <v>249.106153492034</v>
      </c>
      <c r="D111" s="183">
        <f>(D61-$E33)*(COS(ASIN((D102/2-$E33)/(D61-$E33))))</f>
        <v>495.803741715797</v>
      </c>
      <c r="E111" s="183">
        <f>(E61-$E36)*(COS(ASIN((E102/2-$E36)/(E61-$E36))))</f>
        <v>917.898036637147</v>
      </c>
      <c r="F111" s="183">
        <f>(F61-$E39)*(COS(ASIN((F102/2-$E39)/(F61-$E39))))</f>
        <v>1653.86816113091</v>
      </c>
      <c r="G111" s="183">
        <f>(G61-$E42)*(COS(ASIN((G102/2-$E42)/(G61-$E42))))</f>
        <v>2947.77040266282</v>
      </c>
      <c r="H111" s="176"/>
      <c r="I111" s="176"/>
      <c r="J111" s="176"/>
      <c r="K111" s="176"/>
      <c r="L111" s="176"/>
      <c r="M111" s="175"/>
      <c r="N111" s="175"/>
      <c r="O111" s="175"/>
      <c r="P111" s="175"/>
      <c r="Q111" s="175"/>
    </row>
    <row r="112" ht="13.5" spans="2:17">
      <c r="B112" s="186"/>
      <c r="C112" s="186"/>
      <c r="D112" s="186"/>
      <c r="E112" s="186"/>
      <c r="F112" s="186"/>
      <c r="G112" s="186"/>
      <c r="H112" s="176"/>
      <c r="I112" s="176"/>
      <c r="J112" s="176"/>
      <c r="K112" s="176"/>
      <c r="L112" s="176"/>
      <c r="M112" s="175"/>
      <c r="N112" s="175"/>
      <c r="O112" s="175"/>
      <c r="P112" s="175"/>
      <c r="Q112" s="175"/>
    </row>
    <row r="113" ht="13.5" spans="2:17">
      <c r="B113" s="187" t="s">
        <v>387</v>
      </c>
      <c r="C113" s="187" t="s">
        <v>388</v>
      </c>
      <c r="D113" s="187" t="s">
        <v>389</v>
      </c>
      <c r="E113" s="187" t="s">
        <v>390</v>
      </c>
      <c r="F113" s="187" t="s">
        <v>391</v>
      </c>
      <c r="G113" s="188" t="s">
        <v>392</v>
      </c>
      <c r="H113" s="176"/>
      <c r="I113" s="176"/>
      <c r="J113" s="176"/>
      <c r="K113" s="176"/>
      <c r="L113" s="176"/>
      <c r="M113" s="175"/>
      <c r="N113" s="175"/>
      <c r="O113" s="175"/>
      <c r="P113" s="175"/>
      <c r="Q113" s="175"/>
    </row>
    <row r="114" ht="13.5" spans="2:17">
      <c r="B114" s="189">
        <f>B108-(B102/2-E27)</f>
        <v>71.4061441311346</v>
      </c>
      <c r="C114" s="189">
        <f>C108-(C102/2-E30)</f>
        <v>188.102461906297</v>
      </c>
      <c r="D114" s="189">
        <f>D108-(D102/2-E33)</f>
        <v>381.893031453159</v>
      </c>
      <c r="E114" s="189">
        <f>E108-(E102/2-E36)</f>
        <v>705.992946410341</v>
      </c>
      <c r="F114" s="189">
        <f>F108-(F102/2-E39)</f>
        <v>1250.45800383047</v>
      </c>
      <c r="G114" s="183">
        <f>G108-(G102/2-E42)</f>
        <v>2167.41397226797</v>
      </c>
      <c r="H114" s="173" t="s">
        <v>393</v>
      </c>
      <c r="I114" s="190"/>
      <c r="J114" s="190"/>
      <c r="K114" s="190"/>
      <c r="L114" s="190"/>
      <c r="M114" s="190"/>
      <c r="N114" s="190"/>
      <c r="O114" s="190"/>
      <c r="P114" s="190"/>
      <c r="Q114" s="190"/>
    </row>
    <row r="115" ht="13.5" spans="2:17">
      <c r="B115" s="191"/>
      <c r="C115" s="186"/>
      <c r="D115" s="186"/>
      <c r="E115" s="186"/>
      <c r="F115" s="186"/>
      <c r="G115" s="192"/>
      <c r="H115" s="176"/>
      <c r="I115" s="176"/>
      <c r="J115" s="176"/>
      <c r="K115" s="176"/>
      <c r="L115" s="176"/>
      <c r="M115" s="175"/>
      <c r="N115" s="175"/>
      <c r="O115" s="175"/>
      <c r="P115" s="175"/>
      <c r="Q115" s="175"/>
    </row>
    <row r="116" ht="13.5" spans="2:17">
      <c r="B116" s="188" t="s">
        <v>394</v>
      </c>
      <c r="C116" s="188" t="s">
        <v>395</v>
      </c>
      <c r="D116" s="188" t="s">
        <v>396</v>
      </c>
      <c r="E116" s="188" t="s">
        <v>397</v>
      </c>
      <c r="F116" s="188" t="s">
        <v>398</v>
      </c>
      <c r="G116" s="188" t="s">
        <v>399</v>
      </c>
      <c r="H116" s="176"/>
      <c r="I116" s="176"/>
      <c r="J116" s="176"/>
      <c r="K116" s="176"/>
      <c r="L116" s="176"/>
      <c r="M116" s="175"/>
      <c r="N116" s="175"/>
      <c r="O116" s="175"/>
      <c r="P116" s="175"/>
      <c r="Q116" s="175"/>
    </row>
    <row r="117" ht="13.5" spans="2:17">
      <c r="B117" s="189">
        <f>B111-(B99/2-E27)</f>
        <v>79.3695140140097</v>
      </c>
      <c r="C117" s="189">
        <f>C111-(C99/2-E30)</f>
        <v>215.29988443063</v>
      </c>
      <c r="D117" s="189">
        <f>D111-(D99/2-E33)</f>
        <v>451.971957297513</v>
      </c>
      <c r="E117" s="189">
        <f>E111-(E99/2-E36)</f>
        <v>867.076595077655</v>
      </c>
      <c r="F117" s="189">
        <f>F111-(F99/2-E39)</f>
        <v>1598.22660014949</v>
      </c>
      <c r="G117" s="193">
        <f>G111-(G99/2-E42)</f>
        <v>2888.84441501869</v>
      </c>
      <c r="H117" s="176"/>
      <c r="I117" s="176"/>
      <c r="J117" s="176"/>
      <c r="K117" s="176"/>
      <c r="L117" s="176"/>
      <c r="M117" s="175"/>
      <c r="N117" s="175"/>
      <c r="O117" s="175"/>
      <c r="P117" s="175"/>
      <c r="Q117" s="175"/>
    </row>
    <row r="118" ht="13.5" spans="2:17">
      <c r="B118" s="186"/>
      <c r="C118" s="186"/>
      <c r="D118" s="186"/>
      <c r="E118" s="186"/>
      <c r="F118" s="186"/>
      <c r="G118" s="186"/>
      <c r="H118" s="176"/>
      <c r="I118" s="176"/>
      <c r="J118" s="176"/>
      <c r="K118" s="176"/>
      <c r="L118" s="176"/>
      <c r="M118" s="175"/>
      <c r="N118" s="175"/>
      <c r="O118" s="175"/>
      <c r="P118" s="175"/>
      <c r="Q118" s="175"/>
    </row>
    <row r="119" ht="13.5" spans="2:17">
      <c r="B119" s="194" t="s">
        <v>400</v>
      </c>
      <c r="C119" s="195" t="s">
        <v>401</v>
      </c>
      <c r="D119" s="195" t="s">
        <v>402</v>
      </c>
      <c r="E119" s="196" t="s">
        <v>403</v>
      </c>
      <c r="F119" s="195" t="s">
        <v>404</v>
      </c>
      <c r="G119" s="197" t="s">
        <v>405</v>
      </c>
      <c r="H119" s="176"/>
      <c r="I119" s="176"/>
      <c r="J119" s="176"/>
      <c r="K119" s="176"/>
      <c r="L119" s="176"/>
      <c r="M119" s="175"/>
      <c r="N119" s="175"/>
      <c r="O119" s="175"/>
      <c r="P119" s="175"/>
      <c r="Q119" s="175"/>
    </row>
    <row r="120" ht="13.5" spans="2:17">
      <c r="B120" s="189">
        <f t="shared" ref="B120:G120" si="0">POWER(B114,2)+POWER(B117,2)</f>
        <v>11398.3571744964</v>
      </c>
      <c r="C120" s="183">
        <f t="shared" si="0"/>
        <v>81736.5764110524</v>
      </c>
      <c r="D120" s="183">
        <f t="shared" si="0"/>
        <v>350120.937655828</v>
      </c>
      <c r="E120" s="198">
        <f t="shared" si="0"/>
        <v>1250247.86211262</v>
      </c>
      <c r="F120" s="183">
        <f t="shared" si="0"/>
        <v>4117973.48476907</v>
      </c>
      <c r="G120" s="199">
        <f t="shared" si="0"/>
        <v>13043105.3813671</v>
      </c>
      <c r="H120" s="176"/>
      <c r="I120" s="176"/>
      <c r="J120" s="176"/>
      <c r="K120" s="176"/>
      <c r="L120" s="176"/>
      <c r="M120" s="175"/>
      <c r="N120" s="175"/>
      <c r="O120" s="175"/>
      <c r="P120" s="175"/>
      <c r="Q120" s="175"/>
    </row>
    <row r="121" ht="13.5" spans="2:17">
      <c r="B121" s="184"/>
      <c r="C121" s="184"/>
      <c r="D121" s="184"/>
      <c r="E121" s="184"/>
      <c r="F121" s="184"/>
      <c r="G121" s="184"/>
      <c r="H121" s="176"/>
      <c r="I121" s="176"/>
      <c r="J121" s="176"/>
      <c r="K121" s="176"/>
      <c r="L121" s="176"/>
      <c r="M121" s="175"/>
      <c r="N121" s="175"/>
      <c r="O121" s="175"/>
      <c r="P121" s="175"/>
      <c r="Q121" s="175"/>
    </row>
    <row r="122" ht="13.5" spans="2:17">
      <c r="B122" s="200" t="s">
        <v>406</v>
      </c>
      <c r="C122" s="200" t="s">
        <v>407</v>
      </c>
      <c r="D122" s="200" t="s">
        <v>408</v>
      </c>
      <c r="E122" s="200" t="s">
        <v>409</v>
      </c>
      <c r="F122" s="200" t="s">
        <v>410</v>
      </c>
      <c r="G122" s="200" t="s">
        <v>411</v>
      </c>
      <c r="H122" s="176"/>
      <c r="I122" s="176"/>
      <c r="J122" s="176"/>
      <c r="K122" s="176"/>
      <c r="L122" s="176"/>
      <c r="M122" s="175"/>
      <c r="N122" s="175"/>
      <c r="O122" s="175"/>
      <c r="P122" s="175"/>
      <c r="Q122" s="175"/>
    </row>
    <row r="123" ht="13.5" spans="2:17">
      <c r="B123" s="146">
        <f>(B61-B111+(B99/2-$E27))*2</f>
        <v>184.273521688</v>
      </c>
      <c r="C123" s="146">
        <f>(C61-C111+(C99/2-$E30))*2</f>
        <v>175.982051274296</v>
      </c>
      <c r="D123" s="146">
        <f>(D61-D111+(D99/2-$E33))*2</f>
        <v>168.732594831769</v>
      </c>
      <c r="E123" s="146">
        <f>(E61-E111+(E99/2-$E36))*2</f>
        <v>162.763030675234</v>
      </c>
      <c r="F123" s="146">
        <f>(F61-F111+(F99/2-$E39))*2</f>
        <v>158.044746871372</v>
      </c>
      <c r="G123" s="146">
        <f>(G61-G111+(G99/2-$E42))*2</f>
        <v>154.389958683828</v>
      </c>
      <c r="H123" s="173" t="s">
        <v>412</v>
      </c>
      <c r="I123" s="174"/>
      <c r="J123" s="174"/>
      <c r="K123" s="174"/>
      <c r="L123" s="174"/>
      <c r="M123" s="174"/>
      <c r="N123" s="201"/>
      <c r="O123" s="175"/>
      <c r="P123" s="175"/>
      <c r="Q123" s="175"/>
    </row>
    <row r="124" ht="13.5" spans="2:17">
      <c r="B124" s="184"/>
      <c r="C124" s="184"/>
      <c r="D124" s="184"/>
      <c r="E124" s="184"/>
      <c r="F124" s="184"/>
      <c r="G124" s="184"/>
      <c r="H124" s="53"/>
      <c r="I124" s="53"/>
      <c r="J124" s="53"/>
      <c r="K124" s="53"/>
      <c r="L124" s="53"/>
    </row>
    <row r="125" ht="13.5" spans="2:17">
      <c r="B125" s="200" t="s">
        <v>413</v>
      </c>
      <c r="C125" s="200" t="s">
        <v>414</v>
      </c>
      <c r="D125" s="200" t="s">
        <v>415</v>
      </c>
      <c r="E125" s="200" t="s">
        <v>416</v>
      </c>
      <c r="F125" s="200" t="s">
        <v>417</v>
      </c>
      <c r="G125" s="200" t="s">
        <v>418</v>
      </c>
      <c r="H125" s="53"/>
      <c r="I125" s="53"/>
      <c r="J125" s="53"/>
      <c r="K125" s="53"/>
      <c r="L125" s="53"/>
    </row>
    <row r="126" ht="13.5" spans="2:17">
      <c r="B126" s="146">
        <f>(B64-B108+(B102/2-$E27))*2</f>
        <v>184.636622873938</v>
      </c>
      <c r="C126" s="146">
        <f>(C64-C108+(C102/2-$E30))*2</f>
        <v>176.580358537111</v>
      </c>
      <c r="D126" s="146">
        <f>(D64-D108+(D102/2-$E33))*2</f>
        <v>169.402468159938</v>
      </c>
      <c r="E126" s="146">
        <f>(E64-E108+(E102/2-$E36))*2</f>
        <v>163.383174192003</v>
      </c>
      <c r="F126" s="146">
        <f>(F64-F108+(F102/2-$E39))*2</f>
        <v>158.554843812924</v>
      </c>
      <c r="G126" s="146">
        <f>(G64-G108+(G102/2-$E42))*2</f>
        <v>154.777290160579</v>
      </c>
      <c r="H126" s="53"/>
      <c r="I126" s="53"/>
      <c r="J126" s="53"/>
      <c r="K126" s="53"/>
      <c r="L126" s="53"/>
    </row>
    <row r="127" spans="2:17">
      <c r="B127" s="202"/>
      <c r="C127" s="202"/>
      <c r="D127" s="202"/>
      <c r="E127" s="202"/>
      <c r="F127" s="202"/>
      <c r="G127" s="202"/>
    </row>
    <row r="128" ht="18.75" spans="2:17">
      <c r="B128" s="203" t="s">
        <v>419</v>
      </c>
      <c r="C128" s="203"/>
      <c r="D128" s="203"/>
      <c r="E128" s="203"/>
      <c r="F128" s="203"/>
      <c r="G128" s="203"/>
    </row>
    <row r="129" ht="13.5" spans="2:16">
      <c r="B129" s="202"/>
      <c r="C129" s="202"/>
      <c r="D129" s="202"/>
      <c r="E129" s="202"/>
      <c r="F129" s="202"/>
      <c r="G129" s="202"/>
    </row>
    <row r="130" ht="13.5" spans="2:16">
      <c r="B130" s="204" t="s">
        <v>420</v>
      </c>
      <c r="C130" s="204" t="s">
        <v>421</v>
      </c>
      <c r="D130" s="204" t="s">
        <v>422</v>
      </c>
      <c r="E130" s="204" t="s">
        <v>423</v>
      </c>
      <c r="F130" s="204" t="s">
        <v>424</v>
      </c>
      <c r="G130" s="205" t="s">
        <v>425</v>
      </c>
    </row>
    <row r="131" ht="13.5" spans="2:16">
      <c r="B131" s="206">
        <f t="shared" ref="B131:G131" si="1">POWER(B61,2)-POWER(B64,2)+(POWER(B114,2)+POWER(B117,2))</f>
        <v>14007.0621390956</v>
      </c>
      <c r="C131" s="206">
        <f t="shared" si="1"/>
        <v>97329.0604451829</v>
      </c>
      <c r="D131" s="206">
        <f t="shared" si="1"/>
        <v>420069.452496442</v>
      </c>
      <c r="E131" s="206">
        <f t="shared" si="1"/>
        <v>1529373.72500002</v>
      </c>
      <c r="F131" s="206">
        <f t="shared" si="1"/>
        <v>5162941.30170181</v>
      </c>
      <c r="G131" s="207">
        <f t="shared" si="1"/>
        <v>16801356.2794125</v>
      </c>
      <c r="H131" s="208" t="s">
        <v>426</v>
      </c>
      <c r="I131" s="209"/>
      <c r="J131" s="209"/>
      <c r="K131" s="209"/>
      <c r="L131" s="209"/>
      <c r="M131" s="209"/>
    </row>
    <row r="132" ht="13.5" spans="2:16">
      <c r="B132" s="202"/>
      <c r="C132" s="202"/>
      <c r="D132" s="202"/>
      <c r="E132" s="202"/>
      <c r="F132" s="202"/>
      <c r="G132" s="202"/>
    </row>
    <row r="133" ht="13.5" spans="2:16">
      <c r="B133" s="210" t="s">
        <v>427</v>
      </c>
      <c r="C133" s="211" t="s">
        <v>428</v>
      </c>
      <c r="D133" s="212" t="s">
        <v>429</v>
      </c>
      <c r="E133" s="211" t="s">
        <v>430</v>
      </c>
      <c r="F133" s="211" t="s">
        <v>431</v>
      </c>
      <c r="G133" s="211" t="s">
        <v>432</v>
      </c>
    </row>
    <row r="134" ht="13.5" spans="2:16">
      <c r="B134" s="213">
        <f t="shared" ref="B134:G134" si="2">((-B114)*B131+B117*(SQRT(4*POWER(B61,2)*B120-POWER(B131,2))))/(2*B120)</f>
        <v>73.9313850089116</v>
      </c>
      <c r="C134" s="213">
        <f t="shared" si="2"/>
        <v>77.0432961619035</v>
      </c>
      <c r="D134" s="213">
        <f t="shared" si="2"/>
        <v>78.0229213020012</v>
      </c>
      <c r="E134" s="213">
        <f t="shared" si="2"/>
        <v>77.8016780361545</v>
      </c>
      <c r="F134" s="213">
        <f t="shared" si="2"/>
        <v>77.0314881071243</v>
      </c>
      <c r="G134" s="214">
        <f t="shared" si="2"/>
        <v>76.0943292387551</v>
      </c>
      <c r="H134" s="208" t="s">
        <v>433</v>
      </c>
      <c r="I134" s="209"/>
      <c r="J134" s="209"/>
      <c r="K134" s="209"/>
      <c r="L134" s="209"/>
      <c r="M134" s="209"/>
      <c r="N134" s="209"/>
      <c r="O134" s="209"/>
      <c r="P134" s="209"/>
    </row>
    <row r="135" ht="13.5"/>
    <row r="136" ht="13.5" spans="2:16">
      <c r="B136" s="215" t="s">
        <v>434</v>
      </c>
      <c r="C136" s="216" t="s">
        <v>435</v>
      </c>
      <c r="D136" s="217" t="s">
        <v>436</v>
      </c>
      <c r="E136" s="216" t="s">
        <v>437</v>
      </c>
      <c r="F136" s="217" t="s">
        <v>438</v>
      </c>
      <c r="G136" s="216" t="s">
        <v>439</v>
      </c>
    </row>
    <row r="137" ht="13.5" spans="2:16">
      <c r="B137" s="218">
        <f t="shared" ref="B137:G137" si="3">SQRT(POWER(B61,2)-POWER(B134,2))-B117</f>
        <v>75.3836850687078</v>
      </c>
      <c r="C137" s="219">
        <f t="shared" si="3"/>
        <v>78.0424184277375</v>
      </c>
      <c r="D137" s="220">
        <f t="shared" si="3"/>
        <v>78.6608227118971</v>
      </c>
      <c r="E137" s="219">
        <f t="shared" si="3"/>
        <v>78.1851073663119</v>
      </c>
      <c r="F137" s="220">
        <f t="shared" si="3"/>
        <v>77.2525161729216</v>
      </c>
      <c r="G137" s="219">
        <f t="shared" si="3"/>
        <v>76.2187111148364</v>
      </c>
      <c r="H137" s="53"/>
      <c r="I137" s="53"/>
      <c r="J137" s="53"/>
      <c r="K137" s="53"/>
      <c r="L137" s="53"/>
      <c r="M137" s="53"/>
    </row>
    <row r="138" spans="2:16"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0.25" spans="2:16">
      <c r="B139" s="177" t="s">
        <v>440</v>
      </c>
      <c r="C139" s="177"/>
      <c r="D139" s="177"/>
      <c r="E139" s="177"/>
      <c r="F139" s="177"/>
      <c r="G139" s="177"/>
      <c r="H139" s="53"/>
      <c r="I139" s="53"/>
      <c r="J139" s="53"/>
      <c r="K139" s="53"/>
      <c r="L139" s="53"/>
      <c r="M139" s="53"/>
    </row>
    <row r="140" spans="2:16"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18.75" spans="2:16">
      <c r="B141" s="133" t="s">
        <v>441</v>
      </c>
      <c r="C141" s="13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13.5" spans="2:16"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15" spans="2:16">
      <c r="B143" s="221" t="s">
        <v>442</v>
      </c>
      <c r="C143" s="221" t="s">
        <v>443</v>
      </c>
      <c r="D143" s="221" t="s">
        <v>444</v>
      </c>
      <c r="E143" s="221" t="s">
        <v>445</v>
      </c>
      <c r="F143" s="221" t="s">
        <v>446</v>
      </c>
      <c r="G143" s="221" t="s">
        <v>447</v>
      </c>
      <c r="H143" s="53"/>
      <c r="I143" s="53"/>
      <c r="J143" s="53"/>
      <c r="K143" s="53"/>
      <c r="L143" s="53"/>
      <c r="M143" s="53"/>
    </row>
    <row r="144" ht="13.5" spans="2:16">
      <c r="B144" s="146">
        <f>(B134-B137)-((ВНИТИ!L6/2)/(COS(45*PI()/180)))</f>
        <v>-12.0589017775944</v>
      </c>
      <c r="C144" s="146">
        <f>(C134-C137)-(($H$6/2)/(COS(45*PI()/180)))</f>
        <v>-8.07019007769944</v>
      </c>
      <c r="D144" s="146">
        <f>(D134-D137)-(($H$6/2)/(COS(45*PI()/180)))</f>
        <v>-7.70896922176136</v>
      </c>
      <c r="E144" s="146">
        <f>(E134-E137)-(($I$6/2)/(COS(45*PI()/180)))</f>
        <v>-3.91896323609013</v>
      </c>
      <c r="F144" s="146">
        <f>(F134-F137)-(($I$6/2)/(COS(45*PI()/180)))</f>
        <v>-3.75656197173001</v>
      </c>
      <c r="G144" s="146">
        <f>(G134-G137)-(($I$6/2)/(COS(45*PI()/180)))</f>
        <v>-3.6599157820141</v>
      </c>
      <c r="H144" s="53"/>
      <c r="I144" s="53"/>
      <c r="J144" s="53"/>
      <c r="K144" s="53"/>
      <c r="L144" s="53"/>
      <c r="M144" s="53"/>
    </row>
    <row r="145" ht="13.5" spans="2:13">
      <c r="B145" s="147"/>
      <c r="C145" s="147"/>
      <c r="D145" s="155"/>
      <c r="E145" s="147"/>
      <c r="F145" s="147"/>
      <c r="G145" s="147"/>
      <c r="H145" s="53"/>
      <c r="I145" s="53"/>
      <c r="J145" s="53"/>
      <c r="K145" s="53"/>
      <c r="L145" s="53"/>
      <c r="M145" s="53"/>
    </row>
    <row r="146" ht="15" spans="2:13">
      <c r="B146" s="222" t="s">
        <v>448</v>
      </c>
      <c r="C146" s="221" t="s">
        <v>449</v>
      </c>
      <c r="D146" s="223" t="s">
        <v>450</v>
      </c>
      <c r="E146" s="221" t="s">
        <v>451</v>
      </c>
      <c r="F146" s="223" t="s">
        <v>452</v>
      </c>
      <c r="G146" s="221" t="s">
        <v>453</v>
      </c>
      <c r="H146" s="53"/>
      <c r="I146" s="53"/>
      <c r="J146" s="53"/>
      <c r="K146" s="53"/>
      <c r="L146" s="53"/>
      <c r="M146" s="53"/>
    </row>
    <row r="147" ht="13.5" spans="2:13">
      <c r="B147" s="145">
        <f>B144-B117</f>
        <v>-91.4284157916041</v>
      </c>
      <c r="C147" s="146">
        <f t="shared" ref="C147:G147" si="4">C144-C117</f>
        <v>-223.37007450833</v>
      </c>
      <c r="D147" s="153">
        <f t="shared" si="4"/>
        <v>-459.680926519274</v>
      </c>
      <c r="E147" s="224">
        <f t="shared" si="4"/>
        <v>-870.995558313745</v>
      </c>
      <c r="F147" s="153">
        <f t="shared" si="4"/>
        <v>-1601.98316212122</v>
      </c>
      <c r="G147" s="146">
        <f t="shared" si="4"/>
        <v>-2892.5043308007</v>
      </c>
      <c r="H147" s="53"/>
      <c r="I147" s="53"/>
      <c r="J147" s="53"/>
      <c r="K147" s="53"/>
      <c r="L147" s="53"/>
      <c r="M147" s="53"/>
    </row>
    <row r="148" ht="13.5" spans="2:13">
      <c r="B148" s="147"/>
      <c r="C148" s="147"/>
      <c r="D148" s="155"/>
      <c r="E148" s="147"/>
      <c r="F148" s="147"/>
      <c r="G148" s="147"/>
      <c r="H148" s="53"/>
      <c r="I148" s="53"/>
      <c r="J148" s="53"/>
      <c r="K148" s="53"/>
      <c r="L148" s="53"/>
      <c r="M148" s="53"/>
    </row>
    <row r="149" ht="15" spans="2:13">
      <c r="B149" s="225" t="s">
        <v>454</v>
      </c>
      <c r="C149" s="226" t="s">
        <v>455</v>
      </c>
      <c r="D149" s="225" t="s">
        <v>456</v>
      </c>
      <c r="E149" s="226" t="s">
        <v>457</v>
      </c>
      <c r="F149" s="225" t="s">
        <v>458</v>
      </c>
      <c r="G149" s="227" t="s">
        <v>459</v>
      </c>
      <c r="H149" s="53"/>
      <c r="I149" s="53"/>
      <c r="J149" s="53"/>
      <c r="K149" s="53"/>
      <c r="L149" s="53"/>
      <c r="M149" s="53"/>
    </row>
    <row r="150" ht="13.5" spans="2:13">
      <c r="B150" s="219">
        <f>B147+(SQRT((2*POWER(B61,2))-POWER(B147,2)))</f>
        <v>133.226095441043</v>
      </c>
      <c r="C150" s="219">
        <f t="shared" ref="C150:G150" si="5">C147+(SQRT((2*POWER(C61,2))-POWER(C147,2)))</f>
        <v>142.794590736182</v>
      </c>
      <c r="D150" s="219">
        <f t="shared" si="5"/>
        <v>143.652225837206</v>
      </c>
      <c r="E150" s="219">
        <f t="shared" si="5"/>
        <v>149.059495015605</v>
      </c>
      <c r="F150" s="219">
        <f t="shared" si="5"/>
        <v>147.296171508819</v>
      </c>
      <c r="G150" s="219">
        <f t="shared" si="5"/>
        <v>145.290605349069</v>
      </c>
      <c r="H150" s="53"/>
      <c r="I150" s="53"/>
      <c r="J150" s="53"/>
      <c r="K150" s="53"/>
      <c r="L150" s="53"/>
      <c r="M150" s="53"/>
    </row>
    <row r="151" spans="2:13">
      <c r="B151" s="155"/>
      <c r="C151" s="155"/>
      <c r="D151" s="155"/>
      <c r="E151" s="155"/>
      <c r="F151" s="155"/>
      <c r="G151" s="155"/>
      <c r="H151" s="53"/>
      <c r="I151" s="53"/>
      <c r="J151" s="53"/>
      <c r="K151" s="53"/>
      <c r="L151" s="53"/>
      <c r="M151" s="53"/>
    </row>
    <row r="152" ht="18.75" spans="2:13">
      <c r="B152" s="228" t="s">
        <v>460</v>
      </c>
      <c r="C152" s="228"/>
      <c r="D152" s="155"/>
      <c r="E152" s="155"/>
      <c r="F152" s="155"/>
      <c r="G152" s="155"/>
      <c r="H152" s="53"/>
      <c r="I152" s="53"/>
      <c r="J152" s="53"/>
      <c r="K152" s="53"/>
      <c r="L152" s="53"/>
      <c r="M152" s="53"/>
    </row>
    <row r="153" ht="13.5" spans="2:13">
      <c r="B153" s="155"/>
      <c r="C153" s="155"/>
      <c r="D153" s="155"/>
      <c r="E153" s="155"/>
      <c r="F153" s="155"/>
      <c r="G153" s="155"/>
      <c r="H153" s="53"/>
      <c r="I153" s="53"/>
      <c r="J153" s="53"/>
      <c r="K153" s="53"/>
      <c r="L153" s="53"/>
      <c r="M153" s="53"/>
    </row>
    <row r="154" ht="15" spans="2:13">
      <c r="B154" s="229" t="s">
        <v>461</v>
      </c>
      <c r="C154" s="230" t="s">
        <v>462</v>
      </c>
      <c r="D154" s="230" t="s">
        <v>463</v>
      </c>
      <c r="E154" s="231" t="s">
        <v>464</v>
      </c>
      <c r="F154" s="230" t="s">
        <v>465</v>
      </c>
      <c r="G154" s="230" t="s">
        <v>466</v>
      </c>
      <c r="H154" s="53"/>
      <c r="I154" s="53"/>
      <c r="J154" s="53"/>
      <c r="K154" s="53"/>
      <c r="L154" s="53"/>
      <c r="M154" s="53"/>
    </row>
    <row r="155" ht="13.5" spans="2:13">
      <c r="B155" s="145">
        <f>(B137-B134)-((ВНИТИ!L6/2)/(COS(45*PI()/180)))</f>
        <v>-9.15430165800201</v>
      </c>
      <c r="C155" s="145">
        <f>(C137-C134)-(($H$6/2)/(COS(45*PI()/180)))</f>
        <v>-6.07194554603151</v>
      </c>
      <c r="D155" s="145">
        <f>(D137-D134)-(($H$6/2)/(COS(45*PI()/180)))</f>
        <v>-6.43316640196959</v>
      </c>
      <c r="E155" s="145">
        <f>(E137-E134)-(($I$6/2)/(COS(45*PI()/180)))</f>
        <v>-3.15210457577534</v>
      </c>
      <c r="F155" s="145">
        <f>(F137-F134)-(($I$6/2)/(COS(45*PI()/180)))</f>
        <v>-3.31450584013547</v>
      </c>
      <c r="G155" s="145">
        <f>(G137-G134)-(($I$6/2)/(COS(45*PI()/180)))</f>
        <v>-3.41115202985138</v>
      </c>
      <c r="H155" s="53"/>
      <c r="I155" s="53"/>
      <c r="J155" s="53"/>
      <c r="K155" s="53"/>
      <c r="L155" s="53"/>
      <c r="M155" s="53"/>
    </row>
    <row r="156" ht="13.5" spans="2:13">
      <c r="B156" s="155"/>
      <c r="C156" s="155"/>
      <c r="D156" s="155"/>
      <c r="E156" s="155"/>
      <c r="F156" s="155"/>
      <c r="G156" s="155"/>
      <c r="H156" s="53"/>
      <c r="I156" s="53"/>
      <c r="J156" s="53"/>
      <c r="K156" s="53"/>
      <c r="L156" s="53"/>
      <c r="M156" s="53"/>
    </row>
    <row r="157" ht="15" spans="2:13">
      <c r="B157" s="229" t="s">
        <v>467</v>
      </c>
      <c r="C157" s="229" t="s">
        <v>468</v>
      </c>
      <c r="D157" s="229" t="s">
        <v>469</v>
      </c>
      <c r="E157" s="229" t="s">
        <v>470</v>
      </c>
      <c r="F157" s="229" t="s">
        <v>471</v>
      </c>
      <c r="G157" s="230" t="s">
        <v>472</v>
      </c>
      <c r="H157" s="53"/>
      <c r="I157" s="53"/>
      <c r="J157" s="53"/>
      <c r="K157" s="53"/>
      <c r="L157" s="53"/>
      <c r="M157" s="53"/>
    </row>
    <row r="158" ht="13.5" spans="2:13">
      <c r="B158" s="145">
        <f t="shared" ref="B158:G158" si="6">B155-B114</f>
        <v>-80.5604457891366</v>
      </c>
      <c r="C158" s="145">
        <f t="shared" si="6"/>
        <v>-194.174407452328</v>
      </c>
      <c r="D158" s="145">
        <f t="shared" si="6"/>
        <v>-388.326197855129</v>
      </c>
      <c r="E158" s="145">
        <f t="shared" si="6"/>
        <v>-709.145050986117</v>
      </c>
      <c r="F158" s="145">
        <f t="shared" si="6"/>
        <v>-1253.77250967061</v>
      </c>
      <c r="G158" s="219">
        <f t="shared" si="6"/>
        <v>-2170.82512429782</v>
      </c>
      <c r="H158" s="53"/>
      <c r="I158" s="53"/>
      <c r="J158" s="53"/>
      <c r="K158" s="53"/>
      <c r="L158" s="53"/>
      <c r="M158" s="53"/>
    </row>
    <row r="159" ht="13.5" spans="2:13">
      <c r="B159" s="155"/>
      <c r="C159" s="155"/>
      <c r="D159" s="155"/>
      <c r="E159" s="155"/>
      <c r="F159" s="155"/>
      <c r="G159" s="155"/>
      <c r="H159" s="53"/>
      <c r="I159" s="53"/>
      <c r="J159" s="53"/>
      <c r="K159" s="53"/>
      <c r="L159" s="53"/>
      <c r="M159" s="53"/>
    </row>
    <row r="160" ht="15" spans="2:13">
      <c r="B160" s="232" t="s">
        <v>473</v>
      </c>
      <c r="C160" s="232" t="s">
        <v>474</v>
      </c>
      <c r="D160" s="232" t="s">
        <v>475</v>
      </c>
      <c r="E160" s="232" t="s">
        <v>476</v>
      </c>
      <c r="F160" s="232" t="s">
        <v>477</v>
      </c>
      <c r="G160" s="233" t="s">
        <v>478</v>
      </c>
      <c r="H160" s="53"/>
      <c r="I160" s="53"/>
      <c r="J160" s="53"/>
      <c r="K160" s="53"/>
      <c r="L160" s="53"/>
      <c r="M160" s="53"/>
    </row>
    <row r="161" ht="13.5" spans="2:14">
      <c r="B161" s="145">
        <f>B158+(SQRT((2*POWER(B64,2))-POWER(B158,2)))</f>
        <v>136.514217118351</v>
      </c>
      <c r="C161" s="145">
        <f>C158+(SQRT((2*POWER(C64,2))-POWER(C158,2)))</f>
        <v>145.063095901529</v>
      </c>
      <c r="D161" s="145">
        <f t="shared" ref="D161:G161" si="7">D158+(SQRT((2*POWER(D64,2))-POWER(D158,2)))</f>
        <v>145.174674980313</v>
      </c>
      <c r="E161" s="145">
        <f t="shared" si="7"/>
        <v>149.928371552439</v>
      </c>
      <c r="F161" s="145">
        <f t="shared" si="7"/>
        <v>147.814840056064</v>
      </c>
      <c r="G161" s="146">
        <f t="shared" si="7"/>
        <v>145.593633488547</v>
      </c>
      <c r="H161" s="53"/>
      <c r="I161" s="53"/>
      <c r="J161" s="53"/>
      <c r="K161" s="53"/>
      <c r="L161" s="53"/>
      <c r="M161" s="53"/>
    </row>
    <row r="162" spans="2:14">
      <c r="B162" s="155"/>
      <c r="C162" s="155"/>
      <c r="D162" s="155"/>
      <c r="E162" s="155"/>
      <c r="F162" s="155"/>
      <c r="G162" s="155"/>
      <c r="H162" s="53"/>
      <c r="I162" s="53"/>
      <c r="J162" s="53"/>
      <c r="K162" s="53"/>
      <c r="L162" s="53"/>
      <c r="M162" s="53"/>
    </row>
    <row r="163" ht="20.25" spans="2:14">
      <c r="B163" s="234" t="s">
        <v>479</v>
      </c>
      <c r="C163" s="234"/>
      <c r="D163" s="234"/>
      <c r="E163" s="234"/>
      <c r="F163" s="234"/>
      <c r="G163" s="234"/>
      <c r="H163" s="53"/>
      <c r="I163" s="53"/>
      <c r="J163" s="53"/>
      <c r="K163" s="53"/>
      <c r="L163" s="53"/>
      <c r="M163" s="53"/>
    </row>
    <row r="164" ht="13.5" spans="2:14">
      <c r="B164" s="155"/>
      <c r="C164" s="155"/>
      <c r="D164" s="155"/>
      <c r="E164" s="155"/>
      <c r="F164" s="155"/>
      <c r="G164" s="155"/>
      <c r="H164" s="53"/>
      <c r="I164" s="53"/>
      <c r="J164" s="53"/>
      <c r="K164" s="53"/>
      <c r="L164" s="53"/>
      <c r="M164" s="53"/>
    </row>
    <row r="165" ht="13.5" spans="2:14">
      <c r="B165" s="235" t="s">
        <v>480</v>
      </c>
      <c r="C165" s="236" t="s">
        <v>481</v>
      </c>
      <c r="D165" s="156" t="s">
        <v>482</v>
      </c>
      <c r="E165" s="237" t="s">
        <v>483</v>
      </c>
      <c r="F165" s="156" t="s">
        <v>484</v>
      </c>
      <c r="G165" s="237" t="s">
        <v>485</v>
      </c>
      <c r="H165" s="156" t="s">
        <v>486</v>
      </c>
      <c r="I165" s="53"/>
      <c r="J165" s="53"/>
      <c r="K165" s="53"/>
      <c r="L165" s="53"/>
      <c r="M165" s="53"/>
      <c r="N165" s="53"/>
    </row>
    <row r="166" ht="16.5" spans="2:14">
      <c r="B166" s="160">
        <f>E205-SQRT(E205^2-(I205^2/4))</f>
        <v>15.2705927772346</v>
      </c>
      <c r="C166" s="145">
        <f>B61-SQRT(POWER(B61,2)-POWER(B150,2)/4)</f>
        <v>13.4648113458837</v>
      </c>
      <c r="D166" s="238">
        <f t="shared" ref="D166:H166" si="8">C61-SQRT(POWER(C61,2)-POWER(C150,2)/4)</f>
        <v>8.52354019135737</v>
      </c>
      <c r="E166" s="145">
        <f t="shared" si="8"/>
        <v>4.83121527552009</v>
      </c>
      <c r="F166" s="145">
        <f t="shared" si="8"/>
        <v>2.9328045937242</v>
      </c>
      <c r="G166" s="145">
        <f t="shared" si="8"/>
        <v>1.6177257095469</v>
      </c>
      <c r="H166" s="146">
        <f t="shared" si="8"/>
        <v>0.889760885364922</v>
      </c>
      <c r="I166" s="53"/>
      <c r="J166" s="53"/>
      <c r="K166" s="53"/>
      <c r="L166" s="53"/>
      <c r="M166" s="53"/>
      <c r="N166" s="53"/>
    </row>
    <row r="167" ht="13.5" spans="2:14">
      <c r="B167" s="155"/>
      <c r="C167" s="155"/>
      <c r="D167" s="155"/>
      <c r="E167" s="155"/>
      <c r="F167" s="155"/>
      <c r="G167" s="155"/>
      <c r="H167" s="53"/>
      <c r="I167" s="53"/>
      <c r="J167" s="53"/>
      <c r="K167" s="53"/>
      <c r="L167" s="53"/>
      <c r="M167" s="53"/>
    </row>
    <row r="168" ht="13.5" spans="2:14">
      <c r="B168" s="239"/>
      <c r="C168" s="156" t="s">
        <v>487</v>
      </c>
      <c r="D168" s="156" t="s">
        <v>488</v>
      </c>
      <c r="E168" s="156" t="s">
        <v>489</v>
      </c>
      <c r="F168" s="156" t="s">
        <v>490</v>
      </c>
      <c r="G168" s="156" t="s">
        <v>491</v>
      </c>
      <c r="H168" s="156" t="s">
        <v>492</v>
      </c>
      <c r="I168" s="53"/>
      <c r="J168" s="53"/>
      <c r="K168" s="53"/>
      <c r="L168" s="53"/>
      <c r="M168" s="53"/>
      <c r="N168" s="53"/>
    </row>
    <row r="169" ht="13.5" spans="2:14">
      <c r="B169" s="240"/>
      <c r="C169" s="146">
        <f t="shared" ref="C169:H169" si="9">B64-SQRT(POWER(B64,2)-POWER(B161,2)/4)</f>
        <v>14.9069012197914</v>
      </c>
      <c r="D169" s="146">
        <f t="shared" si="9"/>
        <v>9.68668577175941</v>
      </c>
      <c r="E169" s="146">
        <f t="shared" si="9"/>
        <v>5.68073018784298</v>
      </c>
      <c r="F169" s="146">
        <f t="shared" si="9"/>
        <v>3.57529674400666</v>
      </c>
      <c r="G169" s="146">
        <f t="shared" si="9"/>
        <v>2.05549603829422</v>
      </c>
      <c r="H169" s="146">
        <f t="shared" si="9"/>
        <v>1.18067630616451</v>
      </c>
      <c r="I169" s="53"/>
      <c r="J169" s="53"/>
      <c r="K169" s="53"/>
      <c r="L169" s="53"/>
      <c r="M169" s="53"/>
      <c r="N169" s="53"/>
    </row>
    <row r="170" spans="2:14">
      <c r="B170" s="155"/>
      <c r="C170" s="155"/>
      <c r="D170" s="155"/>
      <c r="E170" s="155"/>
      <c r="F170" s="155"/>
      <c r="G170" s="155"/>
      <c r="H170" s="53"/>
      <c r="I170" s="53"/>
      <c r="J170" s="53"/>
      <c r="K170" s="53"/>
      <c r="L170" s="53"/>
      <c r="M170" s="53"/>
    </row>
    <row r="171" ht="20.25" spans="2:14">
      <c r="B171" s="234" t="s">
        <v>493</v>
      </c>
      <c r="C171" s="234"/>
      <c r="D171" s="234"/>
      <c r="E171" s="234"/>
      <c r="F171" s="234"/>
      <c r="G171" s="234"/>
      <c r="H171" s="53"/>
      <c r="I171" s="53"/>
      <c r="J171" s="53"/>
      <c r="K171" s="53"/>
      <c r="L171" s="53"/>
      <c r="M171" s="53"/>
    </row>
    <row r="172" ht="20.25" spans="2:14">
      <c r="B172" s="234"/>
      <c r="C172" s="234"/>
      <c r="D172" s="234"/>
      <c r="E172" s="234"/>
      <c r="F172" s="234"/>
      <c r="G172" s="234"/>
      <c r="H172" s="53"/>
      <c r="I172" s="53"/>
      <c r="J172" s="53"/>
      <c r="K172" s="53"/>
      <c r="L172" s="53"/>
      <c r="M172" s="53"/>
    </row>
    <row r="173" ht="18.75" spans="2:14">
      <c r="B173" s="241" t="s">
        <v>494</v>
      </c>
      <c r="C173" s="241"/>
      <c r="D173" s="241"/>
      <c r="E173" s="242"/>
      <c r="F173" s="242"/>
      <c r="G173" s="242"/>
      <c r="H173" s="53"/>
      <c r="I173" s="53"/>
      <c r="J173" s="53"/>
      <c r="K173" s="53"/>
      <c r="L173" s="53"/>
      <c r="M173" s="53"/>
    </row>
    <row r="174" ht="13.5" spans="2:14">
      <c r="B174" s="155"/>
      <c r="C174" s="155"/>
      <c r="D174" s="155"/>
      <c r="E174" s="155"/>
      <c r="F174" s="155"/>
      <c r="G174" s="155"/>
      <c r="H174" s="53"/>
      <c r="I174" s="53"/>
      <c r="J174" s="53"/>
      <c r="K174" s="53"/>
      <c r="L174" s="53"/>
      <c r="M174" s="53"/>
    </row>
    <row r="175" ht="13.5" spans="2:14">
      <c r="B175" s="156" t="s">
        <v>495</v>
      </c>
      <c r="C175" s="156" t="s">
        <v>496</v>
      </c>
      <c r="D175" s="156" t="s">
        <v>497</v>
      </c>
      <c r="E175" s="156" t="s">
        <v>498</v>
      </c>
      <c r="F175" s="156" t="s">
        <v>499</v>
      </c>
      <c r="G175" s="156" t="s">
        <v>500</v>
      </c>
      <c r="H175" s="53"/>
      <c r="I175" s="53"/>
      <c r="J175" s="53"/>
      <c r="K175" s="53"/>
      <c r="L175" s="53"/>
      <c r="M175" s="53"/>
    </row>
    <row r="176" ht="13.5" spans="2:14">
      <c r="B176" s="243">
        <f>$D27/200+1</f>
        <v>1.0063482707034</v>
      </c>
      <c r="C176" s="243">
        <f>$D30/200+1</f>
        <v>1.00968457184235</v>
      </c>
      <c r="D176" s="243">
        <f>$D33/200+1</f>
        <v>1.01277894726427</v>
      </c>
      <c r="E176" s="243">
        <f>$D36/200+1</f>
        <v>1.01584890419673</v>
      </c>
      <c r="F176" s="243">
        <f>$D39/200+1</f>
        <v>1.01893503538452</v>
      </c>
      <c r="G176" s="243">
        <f>$D42/200+1</f>
        <v>1.02200587646635</v>
      </c>
      <c r="H176" s="53"/>
      <c r="I176" s="53"/>
      <c r="J176" s="53"/>
      <c r="K176" s="53"/>
      <c r="L176" s="53"/>
      <c r="M176" s="53"/>
    </row>
    <row r="177" ht="13.5" spans="2:14">
      <c r="B177" s="155"/>
      <c r="C177" s="155"/>
      <c r="D177" s="155"/>
      <c r="E177" s="155"/>
      <c r="F177" s="155"/>
      <c r="G177" s="155"/>
      <c r="H177" s="53"/>
      <c r="I177" s="53"/>
      <c r="J177" s="53"/>
      <c r="K177" s="53"/>
      <c r="L177" s="53"/>
      <c r="M177" s="53"/>
    </row>
    <row r="178" ht="13.5" spans="2:14">
      <c r="B178" s="236" t="s">
        <v>501</v>
      </c>
      <c r="C178" s="156" t="s">
        <v>502</v>
      </c>
      <c r="D178" s="237" t="s">
        <v>503</v>
      </c>
      <c r="E178" s="156" t="s">
        <v>504</v>
      </c>
      <c r="F178" s="237" t="s">
        <v>505</v>
      </c>
      <c r="G178" s="156" t="s">
        <v>506</v>
      </c>
      <c r="H178" s="53"/>
      <c r="I178" s="53"/>
      <c r="J178" s="53"/>
      <c r="K178" s="53"/>
      <c r="L178" s="53"/>
      <c r="M178" s="53"/>
    </row>
    <row r="179" ht="13.5" spans="2:14">
      <c r="B179" s="244">
        <f>B176/1</f>
        <v>1.0063482707034</v>
      </c>
      <c r="C179" s="245">
        <f>C176/B176</f>
        <v>1.00331525500274</v>
      </c>
      <c r="D179" s="246">
        <f>D176/C176</f>
        <v>1.00306469516146</v>
      </c>
      <c r="E179" s="245">
        <f>E176/D176</f>
        <v>1.00303122111765</v>
      </c>
      <c r="F179" s="247">
        <f>F176/E176</f>
        <v>1.00303798249429</v>
      </c>
      <c r="G179" s="245">
        <f>G176/F176</f>
        <v>1.00301377514285</v>
      </c>
      <c r="H179" s="53"/>
      <c r="I179" s="53"/>
      <c r="J179" s="53"/>
      <c r="K179" s="53"/>
      <c r="L179" s="53"/>
      <c r="M179" s="53"/>
    </row>
    <row r="180" spans="2:14"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</row>
    <row r="181" ht="13.5" spans="2:14"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</row>
    <row r="182" ht="16.5" spans="2:14">
      <c r="B182" s="248" t="s">
        <v>507</v>
      </c>
      <c r="C182" s="249" t="s">
        <v>508</v>
      </c>
      <c r="D182" s="249" t="s">
        <v>509</v>
      </c>
      <c r="E182" s="249" t="s">
        <v>510</v>
      </c>
      <c r="F182" s="249" t="s">
        <v>511</v>
      </c>
      <c r="G182" s="249" t="s">
        <v>512</v>
      </c>
      <c r="H182" s="250" t="s">
        <v>513</v>
      </c>
      <c r="J182" s="53"/>
      <c r="K182" s="53"/>
      <c r="L182" s="53"/>
      <c r="M182" s="53"/>
      <c r="N182" s="53"/>
    </row>
    <row r="183" ht="16.5" spans="2:14">
      <c r="B183" s="251">
        <f>ВНИТИ!$O$6-B205</f>
        <v>561.496200454648</v>
      </c>
      <c r="C183" s="251">
        <f t="shared" ref="C183:H183" si="10">(C186+C189)/2</f>
        <v>579.191289657884</v>
      </c>
      <c r="D183" s="251">
        <f t="shared" si="10"/>
        <v>582.541488917062</v>
      </c>
      <c r="E183" s="251">
        <f t="shared" si="10"/>
        <v>586.098620443751</v>
      </c>
      <c r="F183" s="251">
        <f t="shared" si="10"/>
        <v>590.16977391849</v>
      </c>
      <c r="G183" s="251">
        <f t="shared" si="10"/>
        <v>593.572978838175</v>
      </c>
      <c r="H183" s="251">
        <f t="shared" si="10"/>
        <v>596.499802201537</v>
      </c>
      <c r="J183" s="53"/>
      <c r="K183" s="53"/>
      <c r="L183" s="53"/>
      <c r="M183" s="53"/>
      <c r="N183" s="53"/>
    </row>
    <row r="184" ht="13.5" spans="2:14"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</row>
    <row r="185" ht="13.5" spans="2:14">
      <c r="B185" s="171" t="s">
        <v>514</v>
      </c>
      <c r="C185" s="171" t="s">
        <v>515</v>
      </c>
      <c r="D185" s="171" t="s">
        <v>516</v>
      </c>
      <c r="E185" s="171" t="s">
        <v>517</v>
      </c>
      <c r="F185" s="171" t="s">
        <v>518</v>
      </c>
      <c r="G185" s="171" t="s">
        <v>519</v>
      </c>
      <c r="H185" s="171" t="s">
        <v>520</v>
      </c>
      <c r="I185" s="53"/>
      <c r="J185" s="53"/>
      <c r="K185" s="53"/>
      <c r="L185" s="53"/>
      <c r="M185" s="53"/>
      <c r="N185" s="53"/>
    </row>
    <row r="186" ht="16.5" spans="2:14">
      <c r="B186" s="252">
        <f>B183+2*B166</f>
        <v>592.037386009117</v>
      </c>
      <c r="C186" s="107">
        <f>ВНИТИ!$O$6-(SQRT(POWER(B61,2)-POWER(B150/2,2))-B117)*2</f>
        <v>592.656101003768</v>
      </c>
      <c r="D186" s="107">
        <f>ВНИТИ!$O$6-(SQRT(POWER(C61,2)-POWER(C150/2,2))-C117)*2</f>
        <v>591.065029108419</v>
      </c>
      <c r="E186" s="107">
        <f>ВНИТИ!$O$6-(SQRT(POWER(D61,2)-POWER(D150/2,2))-D117)*2</f>
        <v>590.929835719271</v>
      </c>
      <c r="F186" s="107">
        <f>ВНИТИ!$O$6-(SQRT(POWER(E61,2)-POWER(E150/2,2))-E117)*2</f>
        <v>593.102578512215</v>
      </c>
      <c r="G186" s="107">
        <f>ВНИТИ!$O$6-(SQRT(POWER(F61,2)-POWER(F150/2,2))-F117)*2</f>
        <v>595.190704547721</v>
      </c>
      <c r="H186" s="107">
        <f>ВНИТИ!$O$6-(SQRT(POWER(G61,2)-POWER(G150/2,2))-G117)*2</f>
        <v>597.389563086902</v>
      </c>
      <c r="I186" s="53"/>
      <c r="J186" s="53"/>
      <c r="K186" s="53"/>
      <c r="L186" s="53"/>
      <c r="M186" s="53"/>
      <c r="N186" s="53"/>
    </row>
    <row r="187" ht="13.5" spans="2:14"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</row>
    <row r="188" ht="13.5" spans="2:14">
      <c r="B188" s="171" t="s">
        <v>521</v>
      </c>
      <c r="C188" s="171" t="s">
        <v>522</v>
      </c>
      <c r="D188" s="171" t="s">
        <v>523</v>
      </c>
      <c r="E188" s="171" t="s">
        <v>524</v>
      </c>
      <c r="F188" s="171" t="s">
        <v>525</v>
      </c>
      <c r="G188" s="171" t="s">
        <v>526</v>
      </c>
      <c r="H188" s="171" t="s">
        <v>527</v>
      </c>
      <c r="I188" s="53"/>
      <c r="J188" s="53"/>
      <c r="K188" s="53"/>
      <c r="M188" s="53"/>
      <c r="N188" s="53"/>
    </row>
    <row r="189" ht="13.5" spans="2:14">
      <c r="B189" s="91">
        <f>ВНИТИ!O6-B205</f>
        <v>561.496200454648</v>
      </c>
      <c r="C189" s="106">
        <f>ВНИТИ!$O$6-'Расчётные данные'!B123</f>
        <v>565.726478312</v>
      </c>
      <c r="D189" s="106">
        <f>ВНИТИ!$O$6-'Расчётные данные'!C123</f>
        <v>574.017948725704</v>
      </c>
      <c r="E189" s="106">
        <f>ВНИТИ!$O$6-'Расчётные данные'!D123</f>
        <v>581.267405168231</v>
      </c>
      <c r="F189" s="106">
        <f>ВНИТИ!$O$6-'Расчётные данные'!E123</f>
        <v>587.236969324766</v>
      </c>
      <c r="G189" s="106">
        <f>ВНИТИ!$O$6-'Расчётные данные'!F123</f>
        <v>591.955253128628</v>
      </c>
      <c r="H189" s="253">
        <f>ВНИТИ!$O$6-'Расчётные данные'!G123</f>
        <v>595.610041316172</v>
      </c>
      <c r="I189" s="53"/>
      <c r="J189" s="53"/>
      <c r="K189" s="53"/>
      <c r="M189" s="53"/>
      <c r="N189" s="53"/>
    </row>
    <row r="190" spans="2:14">
      <c r="B190" s="53"/>
      <c r="C190" s="53"/>
      <c r="D190" s="53"/>
      <c r="E190" s="53"/>
      <c r="F190" s="53"/>
      <c r="G190" s="53"/>
      <c r="H190" s="53"/>
      <c r="I190" s="53"/>
      <c r="L190" s="53"/>
      <c r="M190" s="53"/>
    </row>
    <row r="191" ht="18.75" spans="2:14">
      <c r="B191" s="135" t="s">
        <v>460</v>
      </c>
      <c r="C191" s="135"/>
      <c r="D191" s="53"/>
      <c r="E191" s="53"/>
      <c r="F191" s="53"/>
      <c r="G191" s="53"/>
      <c r="H191" s="53"/>
      <c r="I191" s="53"/>
      <c r="J191" s="53"/>
      <c r="K191" s="53"/>
      <c r="L191" s="53"/>
      <c r="M191" s="53"/>
    </row>
    <row r="192" ht="13.5" spans="2:14"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</row>
    <row r="193" ht="13.5" spans="2:13">
      <c r="B193" s="254" t="s">
        <v>528</v>
      </c>
      <c r="C193" s="254" t="s">
        <v>529</v>
      </c>
      <c r="D193" s="254" t="s">
        <v>530</v>
      </c>
      <c r="E193" s="254" t="s">
        <v>531</v>
      </c>
      <c r="F193" s="254" t="s">
        <v>532</v>
      </c>
      <c r="G193" s="180" t="s">
        <v>533</v>
      </c>
      <c r="H193" s="53"/>
      <c r="I193" s="53"/>
      <c r="J193" s="53"/>
      <c r="K193" s="53"/>
      <c r="L193" s="53"/>
      <c r="M193" s="53"/>
    </row>
    <row r="194" ht="13.5" spans="2:13">
      <c r="B194" s="145">
        <f t="shared" ref="B194:G194" si="11">B197+2*C169</f>
        <v>465.177179565645</v>
      </c>
      <c r="C194" s="145">
        <f t="shared" si="11"/>
        <v>462.793013006408</v>
      </c>
      <c r="D194" s="145">
        <f t="shared" si="11"/>
        <v>461.958992215748</v>
      </c>
      <c r="E194" s="145">
        <f t="shared" si="11"/>
        <v>463.76741929601</v>
      </c>
      <c r="F194" s="145">
        <f t="shared" si="11"/>
        <v>465.556148263665</v>
      </c>
      <c r="G194" s="145">
        <f t="shared" si="11"/>
        <v>467.58406245175</v>
      </c>
      <c r="H194" s="53"/>
      <c r="I194" s="53"/>
      <c r="J194" s="53"/>
      <c r="K194" s="53"/>
      <c r="L194" s="53"/>
      <c r="M194" s="53"/>
    </row>
    <row r="195" ht="13.5" spans="2:13">
      <c r="B195" s="53"/>
      <c r="C195" s="53"/>
      <c r="D195" s="53"/>
      <c r="E195" s="53"/>
      <c r="F195" s="53"/>
      <c r="G195" s="53"/>
      <c r="H195" s="53"/>
      <c r="I195" s="53"/>
      <c r="J195" s="53"/>
      <c r="L195" s="53"/>
      <c r="M195" s="53"/>
    </row>
    <row r="196" ht="13.5" spans="2:13">
      <c r="B196" s="254" t="s">
        <v>534</v>
      </c>
      <c r="C196" s="254" t="s">
        <v>535</v>
      </c>
      <c r="D196" s="254" t="s">
        <v>536</v>
      </c>
      <c r="E196" s="254" t="s">
        <v>537</v>
      </c>
      <c r="F196" s="254" t="s">
        <v>538</v>
      </c>
      <c r="G196" s="180" t="s">
        <v>539</v>
      </c>
      <c r="H196" s="53"/>
      <c r="I196" s="53"/>
      <c r="J196" s="53"/>
      <c r="L196" s="53"/>
      <c r="M196" s="53"/>
    </row>
    <row r="197" ht="13.5" spans="2:13">
      <c r="B197" s="145">
        <f>ВНИТИ!$P$6-'Расчётные данные'!B126</f>
        <v>435.363377126062</v>
      </c>
      <c r="C197" s="145">
        <f>ВНИТИ!$P$6-'Расчётные данные'!C126</f>
        <v>443.419641462889</v>
      </c>
      <c r="D197" s="145">
        <f>ВНИТИ!$P$6-'Расчётные данные'!D126</f>
        <v>450.597531840062</v>
      </c>
      <c r="E197" s="145">
        <f>ВНИТИ!$P$6-'Расчётные данные'!E126</f>
        <v>456.616825807997</v>
      </c>
      <c r="F197" s="145">
        <f>ВНИТИ!$P$6-'Расчётные данные'!F126</f>
        <v>461.445156187076</v>
      </c>
      <c r="G197" s="145">
        <f>ВНИТИ!$P$6-'Расчётные данные'!G126</f>
        <v>465.222709839421</v>
      </c>
      <c r="H197" s="53"/>
      <c r="I197" s="53"/>
      <c r="J197" s="53"/>
      <c r="K197" s="53"/>
      <c r="L197" s="53"/>
      <c r="M197" s="53"/>
    </row>
    <row r="198" spans="2:13"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</row>
    <row r="199" spans="2:13"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</row>
    <row r="200" ht="20.25" spans="2:13">
      <c r="B200" s="177" t="s">
        <v>540</v>
      </c>
      <c r="C200" s="177"/>
      <c r="D200" s="177"/>
      <c r="E200" s="177"/>
      <c r="F200" s="177"/>
      <c r="G200" s="177"/>
      <c r="H200" s="177"/>
      <c r="I200" s="53"/>
      <c r="J200" s="53"/>
      <c r="K200" s="53"/>
      <c r="L200" s="53"/>
      <c r="M200" s="53"/>
    </row>
    <row r="201" ht="20.25" spans="2:13">
      <c r="B201" s="255"/>
      <c r="C201" s="255"/>
      <c r="D201" s="255"/>
      <c r="E201" s="255"/>
      <c r="F201" s="255"/>
      <c r="G201" s="255"/>
      <c r="H201" s="53"/>
      <c r="I201" s="53"/>
      <c r="J201" s="53"/>
      <c r="K201" s="53"/>
      <c r="L201" s="53"/>
      <c r="M201" s="53"/>
    </row>
    <row r="202" ht="20.25" customHeight="1" spans="2:13">
      <c r="B202" s="133" t="s">
        <v>541</v>
      </c>
      <c r="C202" s="133"/>
      <c r="D202" s="133"/>
      <c r="E202" s="133"/>
      <c r="F202" s="133"/>
      <c r="G202" s="133"/>
      <c r="H202" s="53"/>
      <c r="I202" s="53"/>
      <c r="J202" s="53"/>
      <c r="K202" s="53"/>
      <c r="L202" s="53"/>
      <c r="M202" s="53"/>
    </row>
    <row r="203" ht="20.25" customHeight="1" spans="2:13">
      <c r="B203" s="133"/>
      <c r="C203" s="133"/>
      <c r="D203" s="133"/>
      <c r="E203" s="133"/>
      <c r="F203" s="133"/>
      <c r="G203" s="133"/>
      <c r="H203" s="53"/>
      <c r="I203" s="53"/>
      <c r="J203" s="53"/>
      <c r="K203" s="53"/>
      <c r="L203" s="53"/>
      <c r="M203" s="53"/>
    </row>
    <row r="204" ht="16.5" spans="2:13">
      <c r="B204" s="256" t="s">
        <v>542</v>
      </c>
      <c r="C204" s="256" t="s">
        <v>543</v>
      </c>
      <c r="D204" s="256" t="s">
        <v>544</v>
      </c>
      <c r="E204" s="256" t="s">
        <v>545</v>
      </c>
      <c r="F204" s="257" t="s">
        <v>546</v>
      </c>
      <c r="G204" s="256" t="s">
        <v>547</v>
      </c>
      <c r="H204" s="256" t="s">
        <v>548</v>
      </c>
      <c r="I204" s="256" t="s">
        <v>549</v>
      </c>
      <c r="J204" s="256" t="s">
        <v>550</v>
      </c>
      <c r="K204" s="258"/>
      <c r="L204" s="259"/>
      <c r="M204" s="260"/>
    </row>
    <row r="205" ht="16.5" spans="2:13">
      <c r="B205" s="261">
        <f>(C6-(1-COS(B234*PI()/180))*ВНИТИ!O6)/COS(B234*PI()/180)</f>
        <v>188.503799545352</v>
      </c>
      <c r="C205" s="261">
        <f>ATAN(B134/((C6/2)-B137-(D205/2)))*180/PI()</f>
        <v>75.683015941305</v>
      </c>
      <c r="D205" s="261">
        <f>C6-B205</f>
        <v>5.46444242469408</v>
      </c>
      <c r="E205" s="261">
        <f>B134/SIN((180-2*C205)*PI()/180)</f>
        <v>154.276896537185</v>
      </c>
      <c r="F205" s="262">
        <f>ВНИТИ!G6+0.63*'Расчётные данные'!D205</f>
        <v>197.410840697603</v>
      </c>
      <c r="G205" s="261">
        <f>(E205*B205-0.25*(F205^2+B205^2))/(2*E205-F205)</f>
        <v>94.0734463026373</v>
      </c>
      <c r="H205" s="261">
        <f>(B134-B137)-((ВНИТИ!L6/2)/COS(45*PI()/180))</f>
        <v>-12.0589017775944</v>
      </c>
      <c r="I205" s="261">
        <f>(H205-J205)+SQRT((2*E205^2)-(H205-J205)^2)</f>
        <v>133.844810435694</v>
      </c>
      <c r="J205" s="261">
        <f>E205-(B205/2)</f>
        <v>60.0249967645091</v>
      </c>
      <c r="K205" s="86"/>
      <c r="L205" s="263"/>
      <c r="M205" s="264"/>
    </row>
    <row r="206" ht="16.5" spans="2:13">
      <c r="B206" s="265"/>
      <c r="C206" s="265"/>
      <c r="D206" s="265"/>
      <c r="E206" s="265"/>
      <c r="F206" s="266"/>
      <c r="G206" s="265"/>
      <c r="H206" s="265"/>
      <c r="I206" s="265"/>
      <c r="J206" s="265"/>
      <c r="K206" s="263"/>
      <c r="L206" s="263"/>
      <c r="M206" s="264"/>
    </row>
    <row r="207" ht="16.5" spans="2:13">
      <c r="B207" s="267" t="s">
        <v>551</v>
      </c>
      <c r="C207" s="268" t="s">
        <v>552</v>
      </c>
      <c r="D207" s="269"/>
      <c r="E207" s="269"/>
      <c r="F207" s="269"/>
      <c r="G207" s="270"/>
      <c r="H207" s="269"/>
      <c r="I207" s="269"/>
      <c r="J207" s="269"/>
      <c r="K207" s="263"/>
      <c r="L207" s="263"/>
      <c r="M207" s="264"/>
    </row>
    <row r="208" ht="16.5" spans="2:13">
      <c r="B208" s="267" t="s">
        <v>553</v>
      </c>
      <c r="C208" s="268" t="s">
        <v>554</v>
      </c>
      <c r="D208" s="269"/>
      <c r="E208" s="269"/>
      <c r="F208" s="269"/>
      <c r="G208" s="269"/>
      <c r="H208" s="269"/>
      <c r="I208" s="269"/>
      <c r="J208" s="269"/>
      <c r="K208" s="263"/>
      <c r="L208" s="263"/>
      <c r="M208" s="264"/>
    </row>
    <row r="209" ht="16.5" spans="2:13">
      <c r="B209" s="271" t="s">
        <v>544</v>
      </c>
      <c r="C209" s="272" t="s">
        <v>555</v>
      </c>
      <c r="D209" s="273"/>
      <c r="E209" s="269"/>
      <c r="F209" s="274"/>
      <c r="G209" s="269"/>
      <c r="H209" s="269"/>
      <c r="I209" s="269"/>
      <c r="J209" s="269"/>
      <c r="K209" s="263"/>
      <c r="L209" s="263"/>
      <c r="M209" s="264"/>
    </row>
    <row r="210" ht="16.5" spans="2:13">
      <c r="B210" s="267" t="s">
        <v>545</v>
      </c>
      <c r="C210" s="272" t="s">
        <v>556</v>
      </c>
      <c r="D210" s="273"/>
      <c r="E210" s="273"/>
      <c r="F210" s="274"/>
      <c r="G210" s="269"/>
      <c r="H210" s="269"/>
      <c r="I210" s="269"/>
      <c r="J210" s="269"/>
      <c r="K210" s="263"/>
      <c r="L210" s="263"/>
      <c r="M210" s="264"/>
    </row>
    <row r="211" ht="16.5" spans="2:13">
      <c r="B211" s="267" t="s">
        <v>547</v>
      </c>
      <c r="C211" s="272" t="s">
        <v>557</v>
      </c>
      <c r="D211" s="273"/>
      <c r="E211" s="273"/>
      <c r="F211" s="273"/>
      <c r="G211" s="273"/>
      <c r="H211" s="273"/>
      <c r="I211" s="273"/>
      <c r="J211" s="273"/>
      <c r="K211" s="263"/>
      <c r="L211" s="263"/>
      <c r="M211" s="264"/>
    </row>
    <row r="212" ht="16.5" spans="2:13">
      <c r="B212" s="267" t="s">
        <v>549</v>
      </c>
      <c r="C212" s="272" t="s">
        <v>558</v>
      </c>
      <c r="D212" s="273"/>
      <c r="E212" s="273"/>
      <c r="F212" s="270"/>
      <c r="G212" s="269"/>
      <c r="H212" s="269"/>
      <c r="I212" s="269"/>
      <c r="J212" s="269"/>
      <c r="K212" s="263"/>
      <c r="L212" s="263"/>
      <c r="M212" s="264"/>
    </row>
    <row r="213" ht="16.5" spans="2:13">
      <c r="B213" s="271" t="s">
        <v>550</v>
      </c>
      <c r="C213" s="272" t="s">
        <v>559</v>
      </c>
      <c r="D213" s="273"/>
      <c r="E213" s="273"/>
      <c r="F213" s="273"/>
      <c r="G213" s="273"/>
      <c r="H213" s="273"/>
      <c r="I213" s="270"/>
      <c r="J213" s="270"/>
      <c r="K213" s="263"/>
      <c r="L213" s="263"/>
      <c r="M213" s="264"/>
    </row>
    <row r="214" ht="16.5" spans="2:13">
      <c r="B214" s="271" t="s">
        <v>560</v>
      </c>
      <c r="C214" s="273" t="s">
        <v>561</v>
      </c>
      <c r="D214" s="273"/>
      <c r="E214" s="273"/>
      <c r="F214" s="266"/>
      <c r="G214" s="265"/>
      <c r="H214" s="265"/>
      <c r="I214" s="265"/>
      <c r="J214" s="265"/>
      <c r="K214" s="263"/>
      <c r="L214" s="263"/>
      <c r="M214" s="264"/>
    </row>
    <row r="215" ht="15.75" spans="2:13">
      <c r="B215" s="265"/>
      <c r="C215" s="265"/>
      <c r="D215" s="265"/>
      <c r="E215" s="265"/>
      <c r="F215" s="266"/>
      <c r="G215" s="265"/>
      <c r="H215" s="265"/>
      <c r="I215" s="265"/>
      <c r="J215" s="265"/>
      <c r="K215" s="263"/>
      <c r="L215" s="263"/>
      <c r="M215" s="264"/>
    </row>
    <row r="216" ht="15.75" spans="2:13">
      <c r="B216" s="265"/>
      <c r="C216" s="265"/>
      <c r="D216" s="265"/>
      <c r="E216" s="265"/>
      <c r="F216" s="266"/>
      <c r="G216" s="265"/>
      <c r="H216" s="265"/>
      <c r="I216" s="265"/>
      <c r="J216" s="265"/>
      <c r="K216" s="263"/>
      <c r="L216" s="263"/>
      <c r="M216" s="264"/>
    </row>
    <row r="217" ht="20.25" spans="2:13">
      <c r="B217" s="255"/>
      <c r="C217" s="255"/>
      <c r="D217" s="255"/>
      <c r="E217" s="255"/>
      <c r="F217" s="255"/>
      <c r="G217" s="255"/>
      <c r="H217" s="53"/>
      <c r="I217" s="53"/>
      <c r="J217" s="53"/>
      <c r="K217" s="53"/>
      <c r="L217" s="53"/>
      <c r="M217" s="53"/>
    </row>
    <row r="218" ht="20.25" spans="2:13">
      <c r="B218" s="255" t="s">
        <v>562</v>
      </c>
      <c r="C218" s="255"/>
      <c r="D218" s="255"/>
      <c r="E218" s="255"/>
      <c r="F218" s="255"/>
      <c r="G218" s="255"/>
      <c r="H218" s="255"/>
      <c r="I218" s="255"/>
      <c r="J218" s="53"/>
      <c r="K218" s="53"/>
      <c r="L218" s="53"/>
      <c r="M218" s="53"/>
    </row>
    <row r="219" ht="20.25" spans="2:13">
      <c r="B219" s="275">
        <f>C6-B205</f>
        <v>5.46444242469408</v>
      </c>
      <c r="C219" s="255"/>
      <c r="D219" s="255"/>
      <c r="E219" s="255"/>
      <c r="F219" s="255"/>
      <c r="G219" s="255"/>
      <c r="H219" s="255"/>
      <c r="I219" s="255"/>
      <c r="J219" s="53"/>
      <c r="K219" s="53"/>
      <c r="L219" s="53"/>
      <c r="M219" s="53"/>
    </row>
    <row r="220" ht="18.75" spans="2:13">
      <c r="B220" s="276" t="s">
        <v>563</v>
      </c>
      <c r="C220" s="276"/>
      <c r="D220" s="276"/>
      <c r="E220" s="53"/>
      <c r="F220" s="53"/>
      <c r="G220" s="53"/>
      <c r="H220" s="277"/>
      <c r="I220" s="53"/>
      <c r="J220" s="53"/>
      <c r="K220" s="53"/>
      <c r="L220" s="53"/>
      <c r="M220" s="53"/>
    </row>
    <row r="221" ht="13.5" spans="2:13">
      <c r="B221" s="53"/>
      <c r="C221" s="53"/>
      <c r="D221" s="53"/>
      <c r="E221" s="53"/>
      <c r="F221" s="53"/>
      <c r="G221" s="53"/>
      <c r="H221" s="277"/>
      <c r="I221" s="53"/>
      <c r="J221" s="53"/>
      <c r="K221" s="53"/>
      <c r="L221" s="53"/>
      <c r="M221" s="53"/>
    </row>
    <row r="222" ht="16.5" spans="2:13">
      <c r="B222" s="278" t="s">
        <v>564</v>
      </c>
      <c r="C222" s="279" t="s">
        <v>565</v>
      </c>
      <c r="D222" s="278" t="s">
        <v>566</v>
      </c>
      <c r="E222" s="280" t="s">
        <v>567</v>
      </c>
      <c r="F222" s="278" t="s">
        <v>568</v>
      </c>
      <c r="G222" s="278" t="s">
        <v>569</v>
      </c>
      <c r="H222" s="277"/>
      <c r="I222" s="53"/>
      <c r="J222" s="53"/>
      <c r="K222" s="53"/>
      <c r="L222" s="53"/>
      <c r="M222" s="53"/>
    </row>
    <row r="223" ht="13.5" spans="2:13">
      <c r="B223" s="107">
        <f>SQRT((B183/2)*(C6-B205))</f>
        <v>39.1679949644408</v>
      </c>
      <c r="C223" s="106">
        <f>SQRT((C183/2)*(B205-B123))</f>
        <v>35.0010006129179</v>
      </c>
      <c r="D223" s="106">
        <f>SQRT((D183/2)*(B123-C123))</f>
        <v>49.1432880468474</v>
      </c>
      <c r="E223" s="106">
        <f>SQRT((E183/2)*(C123-D123))</f>
        <v>46.091736894654</v>
      </c>
      <c r="F223" s="106">
        <f>SQRT((F183/2)*(D123-E123))</f>
        <v>41.9705630689796</v>
      </c>
      <c r="G223" s="107">
        <f>SQRT((G183/2)*(E123-F123))</f>
        <v>37.4208883677413</v>
      </c>
      <c r="H223" s="277"/>
      <c r="I223" s="53"/>
      <c r="J223" s="53"/>
      <c r="K223" s="53"/>
      <c r="L223" s="53"/>
      <c r="M223" s="53"/>
    </row>
    <row r="224" spans="2:13">
      <c r="B224" s="53"/>
      <c r="C224" s="53"/>
      <c r="D224" s="53"/>
      <c r="E224" s="53"/>
      <c r="F224" s="53"/>
      <c r="G224" s="53"/>
      <c r="H224" s="57"/>
      <c r="I224" s="53"/>
      <c r="J224" s="53"/>
      <c r="K224" s="53"/>
      <c r="L224" s="53"/>
      <c r="M224" s="53"/>
    </row>
    <row r="225" ht="18.75" spans="2:13">
      <c r="B225" s="135" t="s">
        <v>570</v>
      </c>
      <c r="C225" s="135"/>
      <c r="D225" s="135"/>
      <c r="E225" s="135"/>
      <c r="F225" s="135"/>
      <c r="G225" s="135"/>
      <c r="H225" s="57"/>
      <c r="I225" s="53"/>
      <c r="J225" s="53"/>
      <c r="K225" s="53"/>
      <c r="L225" s="53"/>
      <c r="M225" s="53"/>
    </row>
    <row r="226" ht="13.5" spans="2:13">
      <c r="B226" s="53"/>
      <c r="C226" s="53"/>
      <c r="D226" s="53"/>
      <c r="E226" s="53"/>
      <c r="F226" s="53"/>
      <c r="G226" s="53"/>
      <c r="H226" s="57"/>
      <c r="I226" s="57"/>
      <c r="J226" s="53"/>
      <c r="K226" s="53"/>
      <c r="L226" s="53"/>
      <c r="M226" s="53"/>
    </row>
    <row r="227" ht="13.5" customHeight="1" spans="2:13">
      <c r="B227" s="281" t="s">
        <v>571</v>
      </c>
      <c r="C227" s="281" t="s">
        <v>572</v>
      </c>
      <c r="D227" s="281" t="s">
        <v>573</v>
      </c>
      <c r="E227" s="281" t="s">
        <v>574</v>
      </c>
      <c r="F227" s="281" t="s">
        <v>575</v>
      </c>
      <c r="G227" s="282" t="s">
        <v>576</v>
      </c>
      <c r="H227" s="283"/>
      <c r="I227" s="283"/>
      <c r="J227" s="53"/>
      <c r="K227" s="53"/>
      <c r="L227" s="53"/>
      <c r="M227" s="53"/>
    </row>
    <row r="228" ht="13.5" customHeight="1" spans="2:13">
      <c r="B228" s="106">
        <f>((2*ВНИТИ!$R6*ВНИТИ!$C6*B223)*0.8)/1000</f>
        <v>30.0810201326905</v>
      </c>
      <c r="C228" s="106">
        <f>(2*ВНИТИ!$R6*ВНИТИ!$C6*C223)/1000</f>
        <v>33.6009605884012</v>
      </c>
      <c r="D228" s="106">
        <f>(2*ВНИТИ!$R6*ВНИТИ!$C6*D223)/1000</f>
        <v>47.1775565249735</v>
      </c>
      <c r="E228" s="106">
        <f>(2*ВНИТИ!$R6*ВНИТИ!$C6*E223)/1000</f>
        <v>44.2480674188678</v>
      </c>
      <c r="F228" s="106">
        <f>(2*ВНИТИ!$R6*ВНИТИ!$C6*F223)/1000</f>
        <v>40.2917405462204</v>
      </c>
      <c r="G228" s="107">
        <f>(2*ВНИТИ!$R6*ВНИТИ!$C6*G223)/1000</f>
        <v>35.9240528330316</v>
      </c>
      <c r="H228" s="283"/>
      <c r="I228" s="283"/>
      <c r="J228" s="53"/>
      <c r="K228" s="53"/>
      <c r="L228" s="53"/>
      <c r="M228" s="53"/>
    </row>
    <row r="229" spans="2:13"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</row>
    <row r="230" spans="2:13"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</row>
    <row r="231" ht="18.75" spans="2:13">
      <c r="B231" s="135" t="s">
        <v>577</v>
      </c>
      <c r="C231" s="135"/>
      <c r="D231" s="276"/>
      <c r="E231" s="53"/>
      <c r="F231" s="53"/>
      <c r="G231" s="53"/>
      <c r="H231" s="53"/>
      <c r="I231" s="53"/>
      <c r="J231" s="53"/>
      <c r="K231" s="53"/>
      <c r="L231" s="53"/>
      <c r="M231" s="53"/>
    </row>
    <row r="232" ht="13.5" spans="2:13"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</row>
    <row r="233" ht="18.75" spans="2:13">
      <c r="B233" s="284" t="s">
        <v>578</v>
      </c>
      <c r="C233" s="285" t="s">
        <v>579</v>
      </c>
      <c r="D233" s="285" t="s">
        <v>580</v>
      </c>
      <c r="E233" s="285" t="s">
        <v>581</v>
      </c>
      <c r="F233" s="285" t="s">
        <v>582</v>
      </c>
      <c r="G233" s="284" t="s">
        <v>583</v>
      </c>
      <c r="H233" s="53"/>
      <c r="I233" s="53"/>
      <c r="J233" s="53"/>
      <c r="K233" s="53"/>
      <c r="L233" s="53"/>
      <c r="M233" s="53"/>
    </row>
    <row r="234" ht="13.5" spans="2:13">
      <c r="B234" s="286">
        <f>ВНИТИ!Q6</f>
        <v>8</v>
      </c>
      <c r="C234" s="106">
        <f>ACOS(1-((B205-B123)/C183))*180/PI()</f>
        <v>6.92908283271792</v>
      </c>
      <c r="D234" s="106">
        <f>ACOS(1-((B123-C123)/D183))*180/PI()</f>
        <v>9.67846415353278</v>
      </c>
      <c r="E234" s="106">
        <f>ACOS(1-((C123-D123)/E183))*180/PI()</f>
        <v>9.02097897983344</v>
      </c>
      <c r="F234" s="106">
        <f>ACOS(1-((D123-E123)/F183))*180/PI()</f>
        <v>8.15618776908138</v>
      </c>
      <c r="G234" s="253">
        <f>ACOS(1-((E123-F123)/G183))*180/PI()</f>
        <v>7.22904122587941</v>
      </c>
      <c r="H234" s="53"/>
      <c r="I234" s="53"/>
      <c r="J234" s="53"/>
      <c r="K234" s="53"/>
      <c r="L234" s="53"/>
      <c r="M234" s="53"/>
    </row>
    <row r="235" spans="2:13"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</row>
    <row r="236" spans="2:13"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</row>
    <row r="237" ht="18.75" spans="2:13">
      <c r="B237" s="135" t="s">
        <v>584</v>
      </c>
      <c r="C237" s="135"/>
      <c r="D237" s="135"/>
      <c r="E237" s="276"/>
      <c r="F237" s="53"/>
      <c r="G237" s="53"/>
      <c r="H237" s="53"/>
      <c r="I237" s="53"/>
      <c r="J237" s="53"/>
      <c r="K237" s="53"/>
      <c r="L237" s="53"/>
      <c r="M237" s="53"/>
    </row>
    <row r="238" ht="13.5" spans="2:13">
      <c r="B238" s="53"/>
      <c r="C238" s="53"/>
      <c r="D238" s="53"/>
      <c r="E238" s="53"/>
      <c r="F238" s="53"/>
      <c r="G238" s="53"/>
      <c r="H238" s="53"/>
      <c r="I238" s="53"/>
      <c r="J238" s="57"/>
      <c r="K238" s="53"/>
      <c r="L238" s="53"/>
      <c r="M238" s="53"/>
    </row>
    <row r="239" ht="13.5" customHeight="1" spans="2:13">
      <c r="B239" s="287" t="s">
        <v>585</v>
      </c>
      <c r="C239" s="287" t="s">
        <v>586</v>
      </c>
      <c r="D239" s="287" t="s">
        <v>587</v>
      </c>
      <c r="E239" s="287" t="s">
        <v>588</v>
      </c>
      <c r="F239" s="287" t="s">
        <v>589</v>
      </c>
      <c r="G239" s="288" t="s">
        <v>590</v>
      </c>
      <c r="H239" s="283"/>
      <c r="I239" s="283"/>
      <c r="J239" s="289"/>
      <c r="K239" s="53"/>
      <c r="L239" s="53"/>
      <c r="M239" s="53"/>
    </row>
    <row r="240" ht="13.5" customHeight="1" spans="2:13">
      <c r="B240" s="106">
        <f>(0.5*ВНИТИ!$R$6*B183*(7.23*ВНИТИ!$C$6^2*(LOG10(F27/G205))))/1000</f>
        <v>154.723022443121</v>
      </c>
      <c r="C240" s="106">
        <f>(0.5*ВНИТИ!$R$6*C183*(7.23*ВНИТИ!$C$6^2*(LOG10(G205/E27))+ВНИТИ!$C$6*$H$27))/1000</f>
        <v>2577.30677811725</v>
      </c>
      <c r="D240" s="106">
        <f>(0.5*ВНИТИ!$R$6*D183*(7.23*ВНИТИ!$C$6^2*(LOG10(E27/E30))+ВНИТИ!C6*H30))/1000</f>
        <v>2191.33469503672</v>
      </c>
      <c r="E240" s="106">
        <f>(0.5*ВНИТИ!$R$6*E183*(7.23*ВНИТИ!$C$6^2*(LOG10(E30/E33))+ВНИТИ!C6*H33))/1000</f>
        <v>2099.57013482937</v>
      </c>
      <c r="F240" s="106">
        <f>(0.5*ВНИТИ!$R$6*F183*(7.23*ВНИТИ!$C$6^2*(LOG10(E33/E36))+ВНИТИ!C6*H36))/1000</f>
        <v>2027.75780644943</v>
      </c>
      <c r="G240" s="107">
        <f>(0.5*ВНИТИ!$R$6*G183*(7.23*ВНИТИ!$C$6^2*(LOG10(E36/E39))+ВНИТИ!C6*H39))/1000</f>
        <v>1939.54295939006</v>
      </c>
      <c r="H240" s="283"/>
      <c r="I240" s="283"/>
      <c r="J240" s="289"/>
      <c r="K240" s="57"/>
      <c r="L240" s="53"/>
      <c r="M240" s="53"/>
    </row>
    <row r="241" spans="2:13">
      <c r="B241" s="53"/>
      <c r="C241" s="53"/>
      <c r="D241" s="53"/>
      <c r="E241" s="53"/>
      <c r="F241" s="53"/>
      <c r="G241" s="53"/>
      <c r="H241" s="53"/>
      <c r="I241" s="53"/>
      <c r="J241" s="57"/>
      <c r="K241" s="53"/>
      <c r="L241" s="53"/>
      <c r="M241" s="53"/>
    </row>
    <row r="242" spans="2:13"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</row>
    <row r="243" ht="18.75" spans="2:13">
      <c r="B243" s="135" t="s">
        <v>591</v>
      </c>
      <c r="C243" s="135"/>
      <c r="D243" s="135"/>
      <c r="E243" s="135"/>
      <c r="F243" s="53"/>
      <c r="G243" s="53"/>
      <c r="H243" s="53"/>
      <c r="I243" s="53"/>
      <c r="J243" s="53"/>
      <c r="K243" s="53"/>
      <c r="L243" s="53"/>
      <c r="M243" s="53"/>
    </row>
    <row r="244" ht="13.5" spans="2:13"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</row>
    <row r="245" ht="15" spans="2:13">
      <c r="B245" s="290" t="s">
        <v>592</v>
      </c>
      <c r="C245" s="290" t="s">
        <v>593</v>
      </c>
      <c r="D245" s="290" t="s">
        <v>594</v>
      </c>
      <c r="E245" s="290" t="s">
        <v>595</v>
      </c>
      <c r="F245" s="290" t="s">
        <v>596</v>
      </c>
      <c r="G245" s="290" t="s">
        <v>597</v>
      </c>
      <c r="H245" s="291"/>
      <c r="I245" s="291"/>
      <c r="K245" s="53"/>
      <c r="L245" s="53"/>
      <c r="M245" s="53"/>
    </row>
    <row r="246" ht="13.5" spans="2:13">
      <c r="B246" s="107">
        <f>(ВНИТИ!$S$6*1000)/(PI()*'Расчётные данные'!B183)</f>
        <v>2.83447943125931</v>
      </c>
      <c r="C246" s="107">
        <f>(ВНИТИ!$S$6*1000)/(PI()*'Расчётные данные'!C183)</f>
        <v>2.74788219252926</v>
      </c>
      <c r="D246" s="107">
        <f>(ВНИТИ!$S$6*1000)/(PI()*'Расчётные данные'!D183)</f>
        <v>2.73207910715102</v>
      </c>
      <c r="E246" s="107">
        <f>(ВНИТИ!$S$6*1000)/(PI()*'Расчётные данные'!E183)</f>
        <v>2.71549765756819</v>
      </c>
      <c r="F246" s="107">
        <f>(ВНИТИ!$S$6*1000)/(PI()*'Расчётные данные'!F183)</f>
        <v>2.69676540760755</v>
      </c>
      <c r="G246" s="107">
        <f>(ВНИТИ!$S$6*1000)/(PI()*'Расчётные данные'!G183)</f>
        <v>2.68130371101825</v>
      </c>
      <c r="H246" s="291"/>
      <c r="I246" s="291"/>
      <c r="K246" s="53"/>
      <c r="L246" s="53"/>
      <c r="M246" s="53"/>
    </row>
    <row r="247" spans="2:13"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</row>
    <row r="248" spans="2:13"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</row>
    <row r="249" ht="18.75" spans="2:13">
      <c r="B249" s="135" t="s">
        <v>598</v>
      </c>
      <c r="C249" s="135"/>
      <c r="D249" s="135"/>
      <c r="E249" s="53"/>
      <c r="F249" s="53"/>
      <c r="G249" s="53"/>
      <c r="H249" s="53"/>
      <c r="I249" s="53"/>
      <c r="J249" s="53"/>
      <c r="K249" s="53"/>
      <c r="L249" s="53"/>
      <c r="M249" s="53"/>
    </row>
    <row r="250" ht="13.5" spans="2:13"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</row>
    <row r="251" ht="15" spans="2:13">
      <c r="B251" s="292" t="s">
        <v>599</v>
      </c>
      <c r="C251" s="292" t="s">
        <v>600</v>
      </c>
      <c r="D251" s="292" t="s">
        <v>601</v>
      </c>
      <c r="E251" s="292" t="s">
        <v>602</v>
      </c>
      <c r="F251" s="292" t="s">
        <v>603</v>
      </c>
      <c r="G251" s="292" t="s">
        <v>604</v>
      </c>
      <c r="H251" s="53"/>
      <c r="I251" s="53"/>
      <c r="J251" s="53"/>
      <c r="K251" s="53"/>
      <c r="L251" s="53"/>
      <c r="M251" s="53"/>
    </row>
    <row r="252" ht="13.5" spans="2:13">
      <c r="B252" s="107">
        <f t="shared" ref="B252:G252" si="12">(2*B240*PI()*B246*1.5)/6000</f>
        <v>0.688887219173702</v>
      </c>
      <c r="C252" s="107">
        <f t="shared" si="12"/>
        <v>11.1245922726135</v>
      </c>
      <c r="D252" s="107">
        <f t="shared" si="12"/>
        <v>9.40420011590244</v>
      </c>
      <c r="E252" s="107">
        <f t="shared" si="12"/>
        <v>8.95570327925244</v>
      </c>
      <c r="F252" s="107">
        <f t="shared" si="12"/>
        <v>8.58972238185774</v>
      </c>
      <c r="G252" s="107">
        <f t="shared" si="12"/>
        <v>8.16893216393715</v>
      </c>
      <c r="H252" s="53"/>
      <c r="I252" s="53"/>
      <c r="J252" s="53"/>
      <c r="K252" s="53"/>
      <c r="L252" s="53"/>
      <c r="M252" s="53"/>
    </row>
    <row r="253" spans="2:13"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</row>
    <row r="254" spans="2:13"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</row>
    <row r="255" spans="2:13"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</row>
    <row r="256" ht="20.25" spans="2:13">
      <c r="B256" s="293" t="s">
        <v>605</v>
      </c>
      <c r="C256" s="294"/>
      <c r="D256" s="294"/>
      <c r="E256" s="294"/>
      <c r="F256" s="294"/>
      <c r="G256" s="295"/>
      <c r="H256" s="53"/>
      <c r="I256" s="53"/>
      <c r="J256" s="53"/>
      <c r="K256" s="53"/>
      <c r="L256" s="53"/>
      <c r="M256" s="53"/>
    </row>
    <row r="257" spans="2:13"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</row>
    <row r="258" ht="18.75" spans="2:13">
      <c r="B258" s="135" t="s">
        <v>606</v>
      </c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</row>
    <row r="259" ht="13.5" spans="2:13"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</row>
    <row r="260" spans="2:13">
      <c r="B260" s="296" t="s">
        <v>508</v>
      </c>
      <c r="C260" s="296" t="s">
        <v>509</v>
      </c>
      <c r="D260" s="296" t="s">
        <v>510</v>
      </c>
      <c r="E260" s="296" t="s">
        <v>511</v>
      </c>
      <c r="F260" s="296" t="s">
        <v>512</v>
      </c>
      <c r="G260" s="296" t="s">
        <v>513</v>
      </c>
      <c r="H260" s="53"/>
      <c r="I260" s="53"/>
      <c r="J260" s="53"/>
      <c r="K260" s="53"/>
      <c r="L260" s="53"/>
      <c r="M260" s="53"/>
    </row>
    <row r="261" ht="13.5" spans="2:13">
      <c r="B261" s="297">
        <f>ВНИТИ!S11-(0.75*(ВНИТИ!S11-ВНИТИ!S10))</f>
        <v>569.131496843265</v>
      </c>
      <c r="C261" s="298">
        <f>ВНИТИ!S15-0.75*(ВНИТИ!S15-ВНИТИ!S14)</f>
        <v>572.458883984942</v>
      </c>
      <c r="D261" s="298">
        <f>ВНИТИ!S19-0.75*(ВНИТИ!S19-ВНИТИ!S18)</f>
        <v>578.279718821383</v>
      </c>
      <c r="E261" s="298">
        <f>ВНИТИ!S23-0.75*(ВНИТИ!S23-ВНИТИ!S22)</f>
        <v>583.683012805991</v>
      </c>
      <c r="F261" s="298">
        <f>ВНИТИ!S27-0.75*(ВНИТИ!S27-ВНИТИ!S26)</f>
        <v>588.703371621628</v>
      </c>
      <c r="G261" s="299">
        <f>ВНИТИ!R30-0.75*(ВНИТИ!R30-ВНИТИ!R30)</f>
        <v>590</v>
      </c>
      <c r="H261" s="53"/>
      <c r="I261" s="53"/>
      <c r="J261" s="53"/>
      <c r="K261" s="53"/>
      <c r="L261" s="53"/>
      <c r="M261" s="53"/>
    </row>
    <row r="262" spans="2:13"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</row>
    <row r="263" ht="18.75" spans="2:13">
      <c r="B263" s="135" t="s">
        <v>607</v>
      </c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</row>
    <row r="264" ht="13.5" spans="2:13"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</row>
    <row r="265" spans="2:13">
      <c r="B265" s="296"/>
      <c r="C265" s="296" t="s">
        <v>608</v>
      </c>
      <c r="D265" s="296" t="s">
        <v>609</v>
      </c>
      <c r="E265" s="296" t="s">
        <v>610</v>
      </c>
      <c r="F265" s="296" t="s">
        <v>611</v>
      </c>
      <c r="G265" s="296" t="s">
        <v>612</v>
      </c>
      <c r="H265" s="53"/>
      <c r="I265" s="53"/>
      <c r="J265" s="53"/>
      <c r="K265" s="53"/>
      <c r="L265" s="53"/>
      <c r="M265" s="53"/>
    </row>
    <row r="266" ht="13.5" spans="2:13">
      <c r="B266" s="297"/>
      <c r="C266" s="300">
        <f>B261/C261</f>
        <v>0.994187552617728</v>
      </c>
      <c r="D266" s="300">
        <f>C261/D261</f>
        <v>0.989934222752435</v>
      </c>
      <c r="E266" s="300">
        <f t="shared" ref="E266:G266" si="13">D261/E261</f>
        <v>0.990742759569732</v>
      </c>
      <c r="F266" s="300">
        <f t="shared" si="13"/>
        <v>0.99147217587389</v>
      </c>
      <c r="G266" s="300">
        <f t="shared" si="13"/>
        <v>0.997802324782421</v>
      </c>
      <c r="H266" s="53"/>
      <c r="I266" s="53"/>
      <c r="J266" s="53"/>
      <c r="K266" s="53"/>
      <c r="L266" s="53"/>
      <c r="M266" s="53"/>
    </row>
    <row r="267" spans="2:13"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</row>
    <row r="268" ht="18.75" spans="2:13">
      <c r="B268" s="135" t="s">
        <v>613</v>
      </c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</row>
    <row r="269" ht="13.5" spans="2:13"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</row>
    <row r="270" spans="2:13">
      <c r="B270" s="296"/>
      <c r="C270" s="296" t="s">
        <v>608</v>
      </c>
      <c r="D270" s="296" t="s">
        <v>609</v>
      </c>
      <c r="E270" s="296" t="s">
        <v>610</v>
      </c>
      <c r="F270" s="296" t="s">
        <v>611</v>
      </c>
      <c r="G270" s="296" t="s">
        <v>612</v>
      </c>
      <c r="H270" s="53"/>
      <c r="I270" s="53"/>
      <c r="J270" s="53"/>
      <c r="K270" s="53"/>
      <c r="L270" s="53"/>
      <c r="M270" s="53"/>
    </row>
    <row r="271" ht="13.5" spans="2:13">
      <c r="B271" s="297"/>
      <c r="C271" s="298">
        <f>ВНИТИ!G6-ВНИТИ!Q16</f>
        <v>9.69472028204621</v>
      </c>
      <c r="D271" s="298">
        <f>ВНИТИ!$G$6-ВНИТИ!Q20-C271</f>
        <v>8.29147041370391</v>
      </c>
      <c r="E271" s="298">
        <f>ВНИТИ!$G$6-ВНИТИ!Q24-D271-C271</f>
        <v>7.24945644252679</v>
      </c>
      <c r="F271" s="298">
        <f>ВНИТИ!$G$6-ВНИТИ!Q28-C271-D271-E271</f>
        <v>5.96956415653534</v>
      </c>
      <c r="G271" s="298">
        <f>ВНИТИ!$G$6-ВНИТИ!Q32-C271-D271-E271-F271</f>
        <v>2.76303067523366</v>
      </c>
      <c r="H271" s="301">
        <f>SUM(C271:G271)</f>
        <v>33.9682419700459</v>
      </c>
      <c r="I271" s="53"/>
      <c r="J271" s="53"/>
      <c r="K271" s="53"/>
      <c r="L271" s="53"/>
      <c r="M271" s="53"/>
    </row>
    <row r="272" spans="2:13"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</row>
    <row r="273" ht="18.75" spans="2:13">
      <c r="B273" s="135" t="s">
        <v>614</v>
      </c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</row>
    <row r="274" ht="13.5" spans="2:13"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</row>
    <row r="275" spans="2:13">
      <c r="B275" s="296"/>
      <c r="C275" s="296" t="s">
        <v>608</v>
      </c>
      <c r="D275" s="296" t="s">
        <v>609</v>
      </c>
      <c r="E275" s="296" t="s">
        <v>610</v>
      </c>
      <c r="F275" s="296" t="s">
        <v>611</v>
      </c>
      <c r="G275" s="296" t="s">
        <v>612</v>
      </c>
      <c r="H275" s="53"/>
      <c r="I275" s="53"/>
      <c r="J275" s="53"/>
      <c r="K275" s="53"/>
      <c r="L275" s="53"/>
      <c r="M275" s="53"/>
    </row>
    <row r="276" ht="13.5" spans="2:13">
      <c r="B276" s="297"/>
      <c r="C276" s="298">
        <f>(100*C271)/$H$271</f>
        <v>28.5405417524853</v>
      </c>
      <c r="D276" s="298">
        <f t="shared" ref="D276:G276" si="14">(100*D271)/$H$271</f>
        <v>24.4094775967963</v>
      </c>
      <c r="E276" s="298">
        <f t="shared" si="14"/>
        <v>21.3418652897008</v>
      </c>
      <c r="F276" s="298">
        <f t="shared" si="14"/>
        <v>17.573956761729</v>
      </c>
      <c r="G276" s="298">
        <f t="shared" si="14"/>
        <v>8.13415859928865</v>
      </c>
      <c r="H276" s="302">
        <f>SUM(C276:G276)</f>
        <v>100</v>
      </c>
      <c r="I276" s="53"/>
      <c r="J276" s="53"/>
      <c r="K276" s="53"/>
      <c r="L276" s="53"/>
      <c r="M276" s="53"/>
    </row>
    <row r="277" spans="2:13"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</row>
    <row r="278" ht="18.75" spans="2:13">
      <c r="B278" s="135" t="s">
        <v>615</v>
      </c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</row>
    <row r="279" ht="13.5" spans="2:13"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</row>
    <row r="280" spans="2:13">
      <c r="B280" s="296"/>
      <c r="C280" s="296" t="s">
        <v>608</v>
      </c>
      <c r="D280" s="296" t="s">
        <v>609</v>
      </c>
      <c r="E280" s="296" t="s">
        <v>610</v>
      </c>
      <c r="F280" s="296" t="s">
        <v>611</v>
      </c>
      <c r="G280" s="296" t="s">
        <v>612</v>
      </c>
      <c r="H280" s="53"/>
      <c r="I280" s="53"/>
      <c r="J280" s="53"/>
      <c r="K280" s="53"/>
      <c r="L280" s="53"/>
      <c r="M280" s="53"/>
    </row>
    <row r="281" ht="13.5" spans="2:13">
      <c r="B281" s="303"/>
      <c r="C281" s="304">
        <f>(C276*2)/100</f>
        <v>0.570810835049707</v>
      </c>
      <c r="D281" s="304">
        <f>(D276*2)/100</f>
        <v>0.488189551935925</v>
      </c>
      <c r="E281" s="304">
        <f t="shared" ref="E281:G281" si="15">(E276*2)/100</f>
        <v>0.426837305794015</v>
      </c>
      <c r="F281" s="304">
        <f t="shared" si="15"/>
        <v>0.351479135234579</v>
      </c>
      <c r="G281" s="304">
        <f t="shared" si="15"/>
        <v>0.162683171985773</v>
      </c>
      <c r="H281" s="53"/>
      <c r="I281" s="53"/>
      <c r="J281" s="53"/>
      <c r="K281" s="53"/>
      <c r="L281" s="53"/>
      <c r="M281" s="53"/>
    </row>
    <row r="282" ht="13.5" spans="2:13">
      <c r="B282" s="13" t="s">
        <v>616</v>
      </c>
      <c r="C282" s="305">
        <f>1+(C281/10)</f>
        <v>1.05708108350497</v>
      </c>
      <c r="D282" s="305">
        <f t="shared" ref="D282:G282" si="16">1+(D281/10)</f>
        <v>1.04881895519359</v>
      </c>
      <c r="E282" s="305">
        <f t="shared" si="16"/>
        <v>1.0426837305794</v>
      </c>
      <c r="F282" s="305">
        <f t="shared" si="16"/>
        <v>1.03514791352346</v>
      </c>
      <c r="G282" s="305">
        <f t="shared" si="16"/>
        <v>1.01626831719858</v>
      </c>
      <c r="H282" s="53"/>
      <c r="I282" s="53"/>
      <c r="J282" s="53"/>
      <c r="K282" s="53"/>
      <c r="L282" s="53"/>
      <c r="M282" s="53"/>
    </row>
    <row r="283" spans="2:13"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</row>
    <row r="284" spans="2:13"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</row>
    <row r="285" ht="18.75" spans="2:13">
      <c r="B285" s="135" t="s">
        <v>617</v>
      </c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</row>
    <row r="286" ht="13.5" spans="2:13"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</row>
    <row r="287" ht="13.5" spans="2:13">
      <c r="B287" s="306"/>
      <c r="C287" s="306" t="s">
        <v>618</v>
      </c>
      <c r="D287" s="306" t="s">
        <v>619</v>
      </c>
      <c r="E287" s="306" t="s">
        <v>620</v>
      </c>
      <c r="F287" s="306" t="s">
        <v>621</v>
      </c>
      <c r="G287" s="306" t="s">
        <v>622</v>
      </c>
      <c r="H287" s="53"/>
      <c r="I287" s="53"/>
      <c r="J287" s="53"/>
      <c r="K287" s="53"/>
      <c r="L287" s="53"/>
      <c r="M287" s="53"/>
    </row>
    <row r="288" ht="13.5" spans="2:13">
      <c r="B288" s="307"/>
      <c r="C288" s="308">
        <f>C266*C282</f>
        <v>1.0509368553283</v>
      </c>
      <c r="D288" s="308">
        <f t="shared" ref="D288:G288" si="17">D266*D282</f>
        <v>1.03826177721759</v>
      </c>
      <c r="E288" s="308">
        <f>E266*E282*0.847</f>
        <v>0.874977559034016</v>
      </c>
      <c r="F288" s="308">
        <f t="shared" si="17"/>
        <v>1.02632035417242</v>
      </c>
      <c r="G288" s="309">
        <f t="shared" si="17"/>
        <v>1.01403488950346</v>
      </c>
      <c r="H288" s="53"/>
      <c r="I288" s="53"/>
      <c r="J288" s="53"/>
      <c r="K288" s="53"/>
      <c r="L288" s="53"/>
      <c r="M288" s="53"/>
    </row>
    <row r="289" ht="13.5" spans="2:13">
      <c r="B289" s="13"/>
      <c r="C289" s="308">
        <f>1/((C261/$B$261)*(1+0.022*((2-1)/6)))</f>
        <v>0.99055551572673</v>
      </c>
      <c r="D289" s="308">
        <f t="shared" ref="D289:G289" si="18">1/((D261/$B$261)*(1+0.022*((2-1)/6)))</f>
        <v>0.980584804554077</v>
      </c>
      <c r="E289" s="308">
        <f>(1/((E261/$B$261)*(1+0.022*((2-1)/6))))*0.847</f>
        <v>0.822866679081877</v>
      </c>
      <c r="F289" s="308">
        <f t="shared" si="18"/>
        <v>0.963222451904877</v>
      </c>
      <c r="G289" s="309">
        <f t="shared" si="18"/>
        <v>0.96110560179331</v>
      </c>
      <c r="H289" s="53"/>
      <c r="I289" s="53"/>
      <c r="J289" s="53"/>
      <c r="K289" s="53"/>
      <c r="L289" s="53"/>
      <c r="M289" s="53"/>
    </row>
    <row r="290" spans="2:13"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</row>
    <row r="291" spans="2:13"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</row>
    <row r="292" spans="2:13"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</row>
    <row r="293" spans="2:13"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</row>
    <row r="294" spans="2:13"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</row>
    <row r="295" spans="2:13"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</row>
    <row r="296" spans="2:13"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</row>
    <row r="297" spans="2:13"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</row>
    <row r="298" spans="2:13"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</row>
    <row r="299" spans="2:13"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</row>
    <row r="300" spans="2:13"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</row>
    <row r="301" spans="2:13"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</row>
    <row r="302" spans="2:13"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</row>
    <row r="303" spans="2:13"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</row>
    <row r="304" spans="2:13"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</row>
    <row r="305" spans="2:13"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</row>
    <row r="306" spans="2:13"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</row>
    <row r="307" spans="2:13"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</row>
    <row r="308" spans="2:13">
      <c r="B308" s="310"/>
      <c r="C308" s="310"/>
      <c r="D308" s="310"/>
      <c r="E308" s="310"/>
      <c r="F308" s="310"/>
      <c r="G308" s="310"/>
      <c r="H308" s="310"/>
      <c r="I308" s="310"/>
      <c r="J308" s="53"/>
      <c r="K308" s="53"/>
      <c r="L308" s="53"/>
      <c r="M308" s="53"/>
    </row>
    <row r="309" ht="20.25" spans="2:13">
      <c r="B309" s="293"/>
      <c r="C309" s="294"/>
      <c r="D309" s="294"/>
      <c r="E309" s="294"/>
      <c r="F309" s="294"/>
      <c r="G309" s="294"/>
      <c r="H309" s="294"/>
      <c r="I309" s="295"/>
      <c r="J309" s="53"/>
      <c r="K309" s="53"/>
      <c r="L309" s="53"/>
      <c r="M309" s="53"/>
    </row>
    <row r="310" ht="20.25" spans="2:13">
      <c r="B310" s="311"/>
      <c r="C310" s="311"/>
      <c r="D310" s="311"/>
      <c r="E310" s="311"/>
      <c r="F310" s="311"/>
      <c r="G310" s="311"/>
      <c r="H310" s="311"/>
      <c r="I310" s="311"/>
      <c r="J310" s="53"/>
      <c r="K310" s="53"/>
      <c r="L310" s="53"/>
      <c r="M310" s="53"/>
    </row>
    <row r="311" ht="20.25" spans="2:13">
      <c r="B311" s="311"/>
      <c r="C311" s="311"/>
      <c r="D311" s="311"/>
      <c r="E311" s="311"/>
      <c r="F311" s="311"/>
      <c r="G311" s="311"/>
      <c r="H311" s="311"/>
      <c r="I311" s="311"/>
      <c r="J311" s="53"/>
      <c r="K311" s="53"/>
      <c r="L311" s="53"/>
      <c r="M311" s="53"/>
    </row>
    <row r="312" ht="20.25" spans="2:13">
      <c r="B312" s="293" t="s">
        <v>623</v>
      </c>
      <c r="C312" s="294"/>
      <c r="D312" s="294"/>
      <c r="E312" s="294"/>
      <c r="F312" s="294"/>
      <c r="G312" s="295"/>
      <c r="H312" s="311"/>
      <c r="I312" s="311"/>
      <c r="J312" s="53"/>
      <c r="K312" s="53"/>
      <c r="L312" s="53"/>
      <c r="M312" s="53"/>
    </row>
    <row r="313" ht="21" spans="2:13">
      <c r="B313" s="312" t="s">
        <v>624</v>
      </c>
      <c r="C313" s="313"/>
      <c r="D313" s="313"/>
      <c r="E313" s="313"/>
      <c r="F313" s="313"/>
      <c r="G313" s="313"/>
      <c r="H313" s="314"/>
      <c r="I313" s="314"/>
      <c r="J313" s="53"/>
      <c r="K313" s="53"/>
      <c r="L313" s="53"/>
      <c r="M313" s="53"/>
    </row>
    <row r="314" ht="13.5" spans="2:13">
      <c r="B314" s="315" t="s">
        <v>625</v>
      </c>
      <c r="C314" s="315" t="s">
        <v>626</v>
      </c>
      <c r="D314" s="315" t="s">
        <v>627</v>
      </c>
      <c r="E314" s="315" t="s">
        <v>628</v>
      </c>
      <c r="F314" s="315" t="s">
        <v>629</v>
      </c>
      <c r="G314" s="315" t="s">
        <v>630</v>
      </c>
      <c r="H314" s="316"/>
      <c r="I314" s="317"/>
      <c r="J314" s="53"/>
      <c r="K314" s="53"/>
      <c r="L314" s="53"/>
      <c r="M314" s="53"/>
    </row>
    <row r="315" ht="13.5" spans="2:13">
      <c r="B315" s="318"/>
      <c r="C315" s="318">
        <f>(ВНИТИ!Q14/2)-ВНИТИ!J16</f>
        <v>-71.4061441311346</v>
      </c>
      <c r="D315" s="318">
        <f>(ВНИТИ!Q18/2)-ВНИТИ!J20</f>
        <v>-188.102461906297</v>
      </c>
      <c r="E315" s="318">
        <f>(ВНИТИ!Q22/2)-ВНИТИ!J24</f>
        <v>-381.893031453159</v>
      </c>
      <c r="F315" s="318">
        <f>(ВНИТИ!Q26/2)-ВНИТИ!J28</f>
        <v>-705.992946410341</v>
      </c>
      <c r="G315" s="318"/>
      <c r="H315" s="316"/>
      <c r="I315" s="317"/>
      <c r="J315" s="53"/>
      <c r="K315" s="53"/>
      <c r="L315" s="53"/>
      <c r="M315" s="53"/>
    </row>
    <row r="316" ht="13.5" spans="2:13">
      <c r="B316" s="319"/>
      <c r="C316" s="320"/>
      <c r="D316" s="320"/>
      <c r="E316" s="320"/>
      <c r="F316" s="320"/>
      <c r="G316" s="320"/>
      <c r="H316" s="317"/>
      <c r="I316" s="317"/>
      <c r="J316" s="53"/>
      <c r="K316" s="53"/>
      <c r="L316" s="53"/>
      <c r="M316" s="53"/>
    </row>
    <row r="317" ht="13.5" spans="2:13">
      <c r="B317" s="315" t="s">
        <v>631</v>
      </c>
      <c r="C317" s="315" t="s">
        <v>632</v>
      </c>
      <c r="D317" s="315" t="s">
        <v>633</v>
      </c>
      <c r="E317" s="315" t="s">
        <v>634</v>
      </c>
      <c r="F317" s="315" t="s">
        <v>635</v>
      </c>
      <c r="G317" s="315" t="s">
        <v>636</v>
      </c>
      <c r="H317" s="310"/>
      <c r="I317" s="310"/>
      <c r="J317" s="53"/>
      <c r="K317" s="53"/>
      <c r="L317" s="53"/>
      <c r="M317" s="53"/>
    </row>
    <row r="318" ht="13.5" spans="2:13">
      <c r="B318" s="318"/>
      <c r="C318" s="318">
        <f>(-ВНИТИ!Q16/2)+ВНИТИ!J14</f>
        <v>79.3695140140097</v>
      </c>
      <c r="D318" s="318">
        <f>(-ВНИТИ!Q20/2)+ВНИТИ!J18</f>
        <v>215.29988443063</v>
      </c>
      <c r="E318" s="318">
        <f>(-ВНИТИ!Q24/2)+ВНИТИ!J22</f>
        <v>451.971957297513</v>
      </c>
      <c r="F318" s="318">
        <f>(-ВНИТИ!Q28/2)+ВНИТИ!J26</f>
        <v>867.076595077655</v>
      </c>
      <c r="G318" s="318"/>
      <c r="H318" s="53"/>
      <c r="I318" s="53"/>
      <c r="J318" s="53"/>
      <c r="K318" s="53"/>
      <c r="L318" s="53"/>
      <c r="M318" s="53"/>
    </row>
    <row r="319" spans="2:13"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</row>
    <row r="320" ht="21" spans="2:13">
      <c r="B320" s="321" t="s">
        <v>637</v>
      </c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</row>
    <row r="321" ht="13.5" spans="2:13">
      <c r="B321" s="315" t="s">
        <v>638</v>
      </c>
      <c r="C321" s="315" t="s">
        <v>639</v>
      </c>
      <c r="D321" s="315" t="s">
        <v>640</v>
      </c>
      <c r="E321" s="315" t="s">
        <v>641</v>
      </c>
      <c r="F321" s="315" t="s">
        <v>642</v>
      </c>
      <c r="G321" s="315" t="s">
        <v>643</v>
      </c>
      <c r="H321" s="53"/>
      <c r="I321" s="53"/>
      <c r="J321" s="53"/>
      <c r="K321" s="53"/>
      <c r="L321" s="53"/>
      <c r="M321" s="53"/>
    </row>
    <row r="322" ht="13.5" spans="2:13">
      <c r="B322" s="318"/>
      <c r="C322" s="318">
        <f>SQRT(-C315^2+C318^2)</f>
        <v>106.763089007842</v>
      </c>
      <c r="D322" s="318">
        <f t="shared" ref="D322:F322" si="19">SQRT(-D315^2+D318^2)</f>
        <v>285.896093731713</v>
      </c>
      <c r="E322" s="318">
        <f t="shared" si="19"/>
        <v>591.71018045647</v>
      </c>
      <c r="F322" s="318">
        <f t="shared" si="19"/>
        <v>1118.14483056204</v>
      </c>
      <c r="G322" s="318"/>
      <c r="H322" s="53"/>
      <c r="I322" s="53"/>
      <c r="J322" s="53"/>
      <c r="K322" s="53"/>
      <c r="L322" s="53"/>
      <c r="M322" s="53"/>
    </row>
    <row r="323" spans="2:13"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</row>
    <row r="324" spans="2:13"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</row>
    <row r="325" ht="21" spans="2:13">
      <c r="B325" s="312" t="s">
        <v>644</v>
      </c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</row>
    <row r="326" ht="13.5" spans="2:13">
      <c r="B326" s="315" t="s">
        <v>645</v>
      </c>
      <c r="C326" s="315" t="s">
        <v>646</v>
      </c>
      <c r="D326" s="315" t="s">
        <v>647</v>
      </c>
      <c r="E326" s="315" t="s">
        <v>648</v>
      </c>
      <c r="F326" s="315" t="s">
        <v>649</v>
      </c>
      <c r="G326" s="315" t="s">
        <v>650</v>
      </c>
      <c r="H326" s="53"/>
      <c r="I326" s="53"/>
      <c r="J326" s="53"/>
      <c r="K326" s="53"/>
      <c r="L326" s="53"/>
      <c r="M326" s="53"/>
    </row>
    <row r="327" ht="13.5" spans="2:13">
      <c r="B327" s="318"/>
      <c r="C327" s="318">
        <f>-C315/C322</f>
        <v>0.668828007832271</v>
      </c>
      <c r="D327" s="318">
        <f>-D315/D322</f>
        <v>0.657939951018755</v>
      </c>
      <c r="E327" s="318">
        <f t="shared" ref="E327:F327" si="20">-E315/E322</f>
        <v>0.645405544921588</v>
      </c>
      <c r="F327" s="318">
        <f t="shared" si="20"/>
        <v>0.631396691299347</v>
      </c>
      <c r="G327" s="318"/>
      <c r="H327" s="53"/>
      <c r="I327" s="53"/>
      <c r="J327" s="53"/>
      <c r="K327" s="53"/>
      <c r="L327" s="53"/>
      <c r="M327" s="53"/>
    </row>
    <row r="328" ht="13.5" spans="2:13">
      <c r="B328" s="322"/>
      <c r="C328" s="318">
        <f>DEGREES(C327)</f>
        <v>38.3210220689319</v>
      </c>
      <c r="D328" s="318">
        <f t="shared" ref="D328:F328" si="21">DEGREES(D327)</f>
        <v>37.6971823664188</v>
      </c>
      <c r="E328" s="318">
        <f t="shared" si="21"/>
        <v>36.979013798348</v>
      </c>
      <c r="F328" s="318">
        <f t="shared" si="21"/>
        <v>36.1763656099771</v>
      </c>
      <c r="G328" s="318"/>
      <c r="H328" s="53"/>
      <c r="I328" s="53"/>
      <c r="J328" s="53"/>
      <c r="K328" s="53"/>
      <c r="L328" s="53"/>
      <c r="M328" s="53"/>
    </row>
    <row r="329" ht="13.5" spans="2:13">
      <c r="B329" s="315" t="s">
        <v>651</v>
      </c>
      <c r="C329" s="315" t="s">
        <v>652</v>
      </c>
      <c r="D329" s="315" t="s">
        <v>653</v>
      </c>
      <c r="E329" s="315" t="s">
        <v>654</v>
      </c>
      <c r="F329" s="315" t="s">
        <v>655</v>
      </c>
      <c r="G329" s="315" t="s">
        <v>656</v>
      </c>
      <c r="H329" s="53"/>
      <c r="I329" s="53"/>
      <c r="J329" s="53"/>
      <c r="K329" s="53"/>
      <c r="L329" s="53"/>
      <c r="M329" s="53"/>
    </row>
    <row r="330" ht="13.5" spans="2:13">
      <c r="B330" s="318"/>
      <c r="C330" s="318">
        <f>90-C328</f>
        <v>51.6789779310681</v>
      </c>
      <c r="D330" s="318">
        <f t="shared" ref="D330:F330" si="22">90-D328</f>
        <v>52.3028176335812</v>
      </c>
      <c r="E330" s="318">
        <f t="shared" si="22"/>
        <v>53.020986201652</v>
      </c>
      <c r="F330" s="318">
        <f t="shared" si="22"/>
        <v>53.8236343900229</v>
      </c>
      <c r="G330" s="318"/>
      <c r="H330" s="53"/>
      <c r="I330" s="53"/>
      <c r="J330" s="53"/>
      <c r="K330" s="53"/>
      <c r="L330" s="53"/>
      <c r="M330" s="53"/>
    </row>
    <row r="331" spans="2:13">
      <c r="B331" s="323"/>
      <c r="C331" s="323"/>
      <c r="D331" s="323"/>
      <c r="E331" s="323"/>
      <c r="F331" s="323"/>
      <c r="G331" s="323"/>
      <c r="H331" s="53"/>
      <c r="I331" s="53"/>
      <c r="J331" s="53"/>
      <c r="K331" s="53"/>
      <c r="L331" s="53"/>
      <c r="M331" s="53"/>
    </row>
    <row r="332" spans="2:13">
      <c r="B332" s="323"/>
      <c r="C332" s="323"/>
      <c r="D332" s="323"/>
      <c r="E332" s="323"/>
      <c r="F332" s="323"/>
      <c r="G332" s="323"/>
      <c r="H332" s="53"/>
      <c r="I332" s="53"/>
      <c r="J332" s="53"/>
      <c r="K332" s="53"/>
      <c r="L332" s="53"/>
      <c r="M332" s="53"/>
    </row>
    <row r="333" ht="21" spans="2:13">
      <c r="B333" s="321" t="s">
        <v>657</v>
      </c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</row>
    <row r="334" ht="13.5" spans="2:13">
      <c r="B334" s="315" t="s">
        <v>658</v>
      </c>
      <c r="C334" s="315" t="s">
        <v>659</v>
      </c>
      <c r="D334" s="315" t="s">
        <v>660</v>
      </c>
      <c r="E334" s="315" t="s">
        <v>661</v>
      </c>
      <c r="F334" s="315" t="s">
        <v>662</v>
      </c>
      <c r="G334" s="315" t="s">
        <v>663</v>
      </c>
      <c r="H334" s="53"/>
      <c r="I334" s="53"/>
      <c r="J334" s="53"/>
      <c r="K334" s="53"/>
      <c r="L334" s="53"/>
      <c r="M334" s="53"/>
    </row>
    <row r="335" ht="13.5" spans="2:13">
      <c r="B335" s="318"/>
      <c r="C335" s="318">
        <f>SQRT(ВНИТИ!J14^2-('Расчётные данные'!C322/2)^2)</f>
        <v>162.987156003309</v>
      </c>
      <c r="D335" s="318">
        <f>SQRT(ВНИТИ!J18^2-('Расчётные данные'!D322/2)^2)</f>
        <v>267.490620446732</v>
      </c>
      <c r="E335" s="318">
        <f>SQRT(ВНИТИ!J22^2-('Расчётные данные'!E322/2)^2)</f>
        <v>447.357227565461</v>
      </c>
      <c r="F335" s="318">
        <f>SQRT(ВНИТИ!J26^2-('Расчётные данные'!F322/2)^2)</f>
        <v>766.166314636943</v>
      </c>
      <c r="G335" s="318"/>
      <c r="H335" s="53"/>
      <c r="I335" s="53"/>
      <c r="J335" s="53"/>
      <c r="K335" s="53"/>
      <c r="L335" s="53"/>
      <c r="M335" s="53"/>
    </row>
    <row r="336" spans="2:13">
      <c r="B336" s="323"/>
      <c r="C336" s="323"/>
      <c r="D336" s="323"/>
      <c r="E336" s="323"/>
      <c r="F336" s="323"/>
      <c r="G336" s="323"/>
      <c r="H336" s="53"/>
      <c r="I336" s="53"/>
      <c r="J336" s="53"/>
      <c r="K336" s="53"/>
      <c r="L336" s="53"/>
      <c r="M336" s="53"/>
    </row>
    <row r="337" spans="2:13"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</row>
    <row r="338" spans="2:13"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</row>
    <row r="339" ht="20.25" spans="2:13">
      <c r="B339" s="312" t="s">
        <v>664</v>
      </c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</row>
    <row r="340" ht="20.25" spans="2:13">
      <c r="B340" s="312" t="s">
        <v>665</v>
      </c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</row>
    <row r="341" ht="13.5" spans="2:13"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</row>
    <row r="342" ht="13.5" spans="2:13">
      <c r="B342" s="315" t="s">
        <v>666</v>
      </c>
      <c r="C342" s="315" t="s">
        <v>667</v>
      </c>
      <c r="D342" s="315" t="s">
        <v>668</v>
      </c>
      <c r="E342" s="315" t="s">
        <v>669</v>
      </c>
      <c r="F342" s="315" t="s">
        <v>670</v>
      </c>
      <c r="G342" s="315" t="s">
        <v>671</v>
      </c>
      <c r="H342" s="53"/>
      <c r="I342" s="53"/>
      <c r="J342" s="53"/>
      <c r="K342" s="53"/>
      <c r="L342" s="53"/>
      <c r="M342" s="53"/>
    </row>
    <row r="343" ht="13.5" spans="2:13">
      <c r="B343" s="318"/>
      <c r="C343" s="318">
        <f>(C322/2)*SIN(C328)</f>
        <v>31.0994894835692</v>
      </c>
      <c r="D343" s="318">
        <f>(D322/2)*COS(D330)</f>
        <v>-64.2977065153776</v>
      </c>
      <c r="E343" s="318">
        <f>(E322/2)*SIN(E328)</f>
        <v>-195.104118336616</v>
      </c>
      <c r="F343" s="318">
        <f>(F322/2)*SIN(F328)</f>
        <v>-558.427143034355</v>
      </c>
      <c r="G343" s="318"/>
      <c r="H343" s="53"/>
      <c r="I343" s="53"/>
      <c r="J343" s="53"/>
      <c r="K343" s="53"/>
      <c r="L343" s="53"/>
      <c r="M343" s="53"/>
    </row>
    <row r="344" ht="13.5" spans="2:13">
      <c r="B344" s="319"/>
      <c r="C344" s="320"/>
      <c r="D344" s="320"/>
      <c r="E344" s="320"/>
      <c r="F344" s="320"/>
      <c r="G344" s="320"/>
      <c r="H344" s="53"/>
      <c r="I344" s="53"/>
      <c r="J344" s="53"/>
      <c r="K344" s="53"/>
      <c r="L344" s="53"/>
      <c r="M344" s="53"/>
    </row>
    <row r="345" ht="13.5" spans="2:13">
      <c r="B345" s="315" t="s">
        <v>672</v>
      </c>
      <c r="C345" s="315" t="s">
        <v>673</v>
      </c>
      <c r="D345" s="315" t="s">
        <v>674</v>
      </c>
      <c r="E345" s="315" t="s">
        <v>675</v>
      </c>
      <c r="F345" s="315" t="s">
        <v>676</v>
      </c>
      <c r="G345" s="315" t="s">
        <v>677</v>
      </c>
      <c r="H345" s="53"/>
      <c r="I345" s="53"/>
      <c r="J345" s="53"/>
      <c r="K345" s="53"/>
      <c r="L345" s="53"/>
      <c r="M345" s="53"/>
    </row>
    <row r="346" ht="13.5" spans="2:13">
      <c r="B346" s="318"/>
      <c r="C346" s="318">
        <f>(C322/2)*SIN(C330)</f>
        <v>52.7224804705227</v>
      </c>
      <c r="D346" s="318">
        <f>(D322/2)*SIN(D330)</f>
        <v>127.671253771652</v>
      </c>
      <c r="E346" s="318">
        <f>(E322/2)*SIN(E330)</f>
        <v>111.40959316557</v>
      </c>
      <c r="F346" s="318">
        <f>(F322/2)*SIN(-F330)</f>
        <v>226.209846383842</v>
      </c>
      <c r="G346" s="318"/>
      <c r="H346" s="53"/>
      <c r="I346" s="53"/>
      <c r="J346" s="53"/>
      <c r="K346" s="53"/>
      <c r="L346" s="53"/>
      <c r="M346" s="53"/>
    </row>
    <row r="347" spans="2:13"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</row>
    <row r="348" ht="20.25" spans="2:13">
      <c r="B348" s="312" t="s">
        <v>678</v>
      </c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</row>
    <row r="349" ht="13.5" spans="2:13"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</row>
    <row r="350" ht="13.5" spans="2:13">
      <c r="B350" s="315" t="s">
        <v>679</v>
      </c>
      <c r="C350" s="315" t="s">
        <v>680</v>
      </c>
      <c r="D350" s="315" t="s">
        <v>681</v>
      </c>
      <c r="E350" s="315" t="s">
        <v>682</v>
      </c>
      <c r="F350" s="315" t="s">
        <v>683</v>
      </c>
      <c r="G350" s="315" t="s">
        <v>684</v>
      </c>
      <c r="H350" s="53"/>
      <c r="I350" s="53"/>
      <c r="J350" s="53"/>
      <c r="K350" s="53"/>
      <c r="L350" s="53"/>
      <c r="M350" s="53"/>
    </row>
    <row r="351" ht="13.5" spans="2:13">
      <c r="B351" s="318"/>
      <c r="C351" s="318">
        <f>C335*COS(C328)</f>
        <v>132.470592262</v>
      </c>
      <c r="D351" s="318">
        <f t="shared" ref="D351:E351" si="23">D335*COS(D328)</f>
        <v>267.490122529123</v>
      </c>
      <c r="E351" s="318">
        <f t="shared" si="23"/>
        <v>336.296803756637</v>
      </c>
      <c r="F351" s="318">
        <f>-F335*COS(F328)</f>
        <v>-36.8001986015613</v>
      </c>
      <c r="G351" s="318"/>
      <c r="H351" s="53"/>
      <c r="I351" s="53"/>
      <c r="J351" s="53"/>
      <c r="K351" s="53"/>
      <c r="L351" s="53"/>
      <c r="M351" s="53"/>
    </row>
    <row r="352" ht="13.5" spans="2:13">
      <c r="B352" s="319"/>
      <c r="C352" s="320"/>
      <c r="D352" s="320"/>
      <c r="E352" s="320"/>
      <c r="F352" s="320"/>
      <c r="G352" s="320"/>
      <c r="H352" s="53"/>
      <c r="I352" s="53"/>
      <c r="J352" s="53"/>
      <c r="K352" s="53"/>
      <c r="L352" s="53"/>
      <c r="M352" s="53"/>
    </row>
    <row r="353" ht="13.5" spans="2:13">
      <c r="B353" s="315" t="s">
        <v>685</v>
      </c>
      <c r="C353" s="315" t="s">
        <v>686</v>
      </c>
      <c r="D353" s="315" t="s">
        <v>687</v>
      </c>
      <c r="E353" s="315" t="s">
        <v>688</v>
      </c>
      <c r="F353" s="315" t="s">
        <v>689</v>
      </c>
      <c r="G353" s="315" t="s">
        <v>690</v>
      </c>
      <c r="H353" s="53"/>
      <c r="I353" s="53"/>
      <c r="J353" s="53"/>
      <c r="K353" s="53"/>
      <c r="L353" s="53"/>
      <c r="M353" s="53"/>
    </row>
    <row r="354" ht="13.5" spans="2:13">
      <c r="B354" s="318"/>
      <c r="C354" s="318">
        <f>-C335*SIN(C328)</f>
        <v>-94.9544901929437</v>
      </c>
      <c r="D354" s="318">
        <f>D335*COS(D330)</f>
        <v>-120.316672988474</v>
      </c>
      <c r="E354" s="318">
        <f t="shared" ref="E354:F354" si="24">-E335*SIN(E328)</f>
        <v>295.013472299361</v>
      </c>
      <c r="F354" s="318">
        <f t="shared" si="24"/>
        <v>765.282017995484</v>
      </c>
      <c r="G354" s="318"/>
      <c r="H354" s="53"/>
      <c r="I354" s="53"/>
      <c r="J354" s="53"/>
      <c r="K354" s="53"/>
      <c r="L354" s="53"/>
      <c r="M354" s="53"/>
    </row>
    <row r="355" spans="2:13"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</row>
    <row r="356" spans="2:13"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</row>
    <row r="357" ht="20.25" spans="2:13">
      <c r="B357" s="312" t="s">
        <v>691</v>
      </c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</row>
    <row r="358" ht="13.5" spans="2:13"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</row>
    <row r="359" ht="13.5" spans="2:13">
      <c r="B359" s="315" t="s">
        <v>692</v>
      </c>
      <c r="C359" s="315" t="s">
        <v>693</v>
      </c>
      <c r="D359" s="315" t="s">
        <v>694</v>
      </c>
      <c r="E359" s="315" t="s">
        <v>695</v>
      </c>
      <c r="F359" s="315" t="s">
        <v>696</v>
      </c>
      <c r="G359" s="315" t="s">
        <v>697</v>
      </c>
      <c r="H359" s="53"/>
      <c r="I359" s="53"/>
      <c r="J359" s="53"/>
      <c r="K359" s="53"/>
      <c r="L359" s="53"/>
      <c r="M359" s="53"/>
    </row>
    <row r="360" ht="13.5" spans="2:13">
      <c r="B360" s="318"/>
      <c r="C360" s="318">
        <f>C351-(-C343)</f>
        <v>163.57008174557</v>
      </c>
      <c r="D360" s="318">
        <f t="shared" ref="D360:F360" si="25">D351-(-D343)</f>
        <v>203.192416013745</v>
      </c>
      <c r="E360" s="318">
        <f t="shared" si="25"/>
        <v>141.192685420021</v>
      </c>
      <c r="F360" s="318">
        <f t="shared" si="25"/>
        <v>-595.227341635916</v>
      </c>
      <c r="G360" s="318"/>
      <c r="H360" s="53"/>
      <c r="I360" s="53"/>
      <c r="J360" s="53"/>
      <c r="K360" s="53"/>
      <c r="L360" s="53"/>
      <c r="M360" s="53"/>
    </row>
    <row r="361" ht="13.5" spans="2:13">
      <c r="B361" s="319"/>
      <c r="C361" s="320"/>
      <c r="D361" s="320"/>
      <c r="E361" s="320"/>
      <c r="F361" s="320"/>
      <c r="G361" s="320"/>
      <c r="H361" s="53"/>
      <c r="I361" s="53"/>
      <c r="J361" s="53"/>
      <c r="K361" s="53"/>
      <c r="L361" s="53"/>
      <c r="M361" s="53"/>
    </row>
    <row r="362" ht="13.5" spans="2:13">
      <c r="B362" s="315" t="s">
        <v>698</v>
      </c>
      <c r="C362" s="315" t="s">
        <v>699</v>
      </c>
      <c r="D362" s="315" t="s">
        <v>700</v>
      </c>
      <c r="E362" s="315" t="s">
        <v>701</v>
      </c>
      <c r="F362" s="315" t="s">
        <v>702</v>
      </c>
      <c r="G362" s="315" t="s">
        <v>703</v>
      </c>
      <c r="H362" s="53"/>
      <c r="I362" s="53"/>
      <c r="J362" s="53"/>
      <c r="K362" s="53"/>
      <c r="L362" s="53"/>
      <c r="M362" s="53"/>
    </row>
    <row r="363" ht="13.5" spans="2:13">
      <c r="B363" s="318"/>
      <c r="C363" s="318"/>
      <c r="D363" s="318"/>
      <c r="E363" s="318"/>
      <c r="F363" s="318"/>
      <c r="G363" s="318"/>
      <c r="H363" s="53"/>
      <c r="I363" s="53"/>
      <c r="J363" s="53"/>
      <c r="K363" s="53"/>
      <c r="L363" s="53"/>
      <c r="M363" s="53"/>
    </row>
    <row r="364" spans="2:13"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</row>
    <row r="365" spans="2:13"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</row>
    <row r="366" spans="2:13"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</row>
    <row r="367" spans="2:13"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</row>
    <row r="368" spans="2:13"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</row>
    <row r="369" spans="2:13"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</row>
    <row r="370" spans="2:13"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</row>
    <row r="371" spans="2:13"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</row>
    <row r="372" spans="2:13"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</row>
    <row r="373" spans="2:13"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</row>
    <row r="374" spans="2:13"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</row>
    <row r="375" spans="2:13"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</row>
    <row r="376" spans="2:13"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</row>
    <row r="377" spans="2:13"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</row>
    <row r="378" spans="2:13"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</row>
    <row r="379" spans="2:13"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</row>
    <row r="380" spans="2:13"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</row>
    <row r="381" spans="2:13"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</row>
    <row r="382" spans="2:13"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</row>
    <row r="383" spans="2:13"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</row>
    <row r="384" spans="2:13"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</row>
    <row r="385" spans="2:13"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</row>
    <row r="386" spans="2:13"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</row>
    <row r="387" spans="2:13"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</row>
    <row r="388" spans="2:13"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</row>
    <row r="389" spans="2:13"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</row>
    <row r="390" spans="2:13"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</row>
    <row r="391" spans="2:13"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</row>
    <row r="392" spans="2:13"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</row>
    <row r="393" spans="2:13"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</row>
    <row r="394" spans="2:13"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</row>
    <row r="395" spans="2:13"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</row>
    <row r="396" spans="2:13"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</row>
    <row r="397" spans="2:13"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</row>
    <row r="398" spans="2:13"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</row>
    <row r="399" spans="2:13"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</row>
    <row r="400" spans="2:13"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</row>
    <row r="401" spans="2:13"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</row>
    <row r="402" spans="2:13"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</row>
    <row r="403" spans="2:13"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</row>
    <row r="404" spans="2:13"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</row>
    <row r="405" spans="2:13"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</row>
    <row r="406" spans="2:13"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</row>
    <row r="407" spans="2:13"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</row>
    <row r="408" spans="2:13"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</row>
    <row r="409" spans="2:13"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</row>
    <row r="410" spans="2:13"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</row>
    <row r="411" spans="2:13"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</row>
    <row r="412" spans="2:13"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</row>
    <row r="413" spans="2:13"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</row>
    <row r="414" spans="2:13"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</row>
    <row r="415" spans="2:13"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</row>
    <row r="416" spans="2:13"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</row>
    <row r="417" spans="2:13"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</row>
    <row r="418" spans="2:13"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</row>
    <row r="419" spans="2:13"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</row>
    <row r="420" spans="2:13"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</row>
    <row r="421" spans="2:13"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</row>
    <row r="422" spans="2:13"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</row>
    <row r="423" spans="2:13"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</row>
    <row r="424" spans="2:13"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</row>
    <row r="425" spans="2:13"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</row>
    <row r="426" spans="2:13"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</row>
    <row r="427" spans="2:13"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</row>
    <row r="428" spans="2:13"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</row>
    <row r="429" spans="2:13"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</row>
    <row r="430" spans="2:13"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</row>
    <row r="431" spans="2:13"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</row>
    <row r="432" spans="2:13"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</row>
    <row r="433" spans="2:13"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</row>
    <row r="434" spans="2:13"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</row>
    <row r="435" spans="2:13"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</row>
    <row r="436" spans="2:13"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</row>
    <row r="437" spans="2:13"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</row>
    <row r="438" spans="2:13"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</row>
    <row r="439" spans="2:13"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</row>
    <row r="440" spans="2:13"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</row>
    <row r="441" spans="2:13"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</row>
    <row r="442" spans="2:13"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</row>
    <row r="443" spans="2:13"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</row>
    <row r="444" spans="2:13"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</row>
    <row r="445" spans="2:13"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</row>
    <row r="446" spans="2:13"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</row>
    <row r="447" spans="2:13"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</row>
    <row r="448" spans="2:13"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</row>
    <row r="449" spans="2:13"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</row>
    <row r="450" spans="2:13"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</row>
    <row r="451" spans="2:13"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</row>
    <row r="452" spans="2:13"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</row>
    <row r="453" spans="2:13"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</row>
    <row r="454" spans="2:13"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</row>
    <row r="455" spans="2:13"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</row>
    <row r="456" spans="2:13"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</row>
    <row r="457" spans="2:13"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</row>
    <row r="458" spans="2:13"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</row>
    <row r="459" spans="2:13"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</row>
    <row r="460" spans="2:13"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</row>
    <row r="461" spans="2:13"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</row>
    <row r="462" spans="2:13"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</row>
    <row r="463" spans="2:13"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</row>
    <row r="464" spans="2:13"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</row>
    <row r="465" spans="2:13"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</row>
    <row r="466" spans="2:13"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</row>
    <row r="467" spans="2:13"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</row>
    <row r="468" spans="2:13"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</row>
    <row r="469" spans="2:13"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</row>
    <row r="470" spans="2:13"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</row>
    <row r="471" spans="2:13"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</row>
    <row r="472" spans="2:13"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</row>
    <row r="473" spans="2:13"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</row>
    <row r="474" spans="2:13"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</row>
    <row r="475" spans="2:13"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</row>
    <row r="476" spans="2:13"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</row>
    <row r="477" spans="2:13"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</row>
    <row r="478" spans="2:13"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</row>
    <row r="479" spans="2:13"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</row>
    <row r="480" spans="2:13"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</row>
    <row r="481" spans="2:13"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</row>
    <row r="482" spans="2:13"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</row>
    <row r="483" spans="2:13"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</row>
    <row r="484" spans="2:13"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</row>
    <row r="485" spans="2:13"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</row>
    <row r="486" spans="2:13"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</row>
    <row r="487" spans="2:13"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</row>
    <row r="488" spans="2:13"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</row>
    <row r="489" spans="2:13"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</row>
    <row r="490" spans="2:13"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</row>
    <row r="491" spans="2:13"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</row>
    <row r="492" spans="2:13"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</row>
    <row r="493" spans="2:13"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</row>
    <row r="494" spans="2:13"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</row>
    <row r="495" spans="2:13"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</row>
    <row r="496" spans="2:13"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</row>
    <row r="497" spans="2:13"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</row>
    <row r="498" spans="2:13"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</row>
    <row r="499" spans="2:13"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</row>
    <row r="500" spans="2:13"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</row>
    <row r="501" spans="2:13"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</row>
    <row r="502" spans="2:13"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</row>
    <row r="503" spans="2:13"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</row>
    <row r="504" spans="2:13"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</row>
    <row r="505" spans="2:13"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</row>
    <row r="506" spans="2:13"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</row>
    <row r="507" spans="2:13"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</row>
    <row r="508" spans="2:13"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</row>
    <row r="509" spans="2:13"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</row>
    <row r="510" spans="2:13"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</row>
    <row r="511" spans="2:13"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</row>
    <row r="512" spans="2:13"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</row>
    <row r="513" spans="2:13"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</row>
    <row r="514" spans="2:13"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</row>
    <row r="515" spans="2:13"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</row>
    <row r="516" spans="2:13"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</row>
    <row r="517" spans="2:13"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</row>
    <row r="518" spans="2:13"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</row>
    <row r="519" spans="2:13"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</row>
    <row r="520" spans="2:13"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</row>
    <row r="521" spans="2:13"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</row>
    <row r="522" spans="2:13"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</row>
    <row r="523" spans="2:13"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</row>
    <row r="524" spans="2:13"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</row>
    <row r="525" spans="2:13"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</row>
    <row r="526" spans="2:13"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</row>
    <row r="527" spans="2:13"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</row>
    <row r="528" spans="2:13"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</row>
    <row r="529" spans="2:13"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</row>
    <row r="530" spans="2:13"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</row>
    <row r="531" spans="2:13"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</row>
    <row r="532" spans="2:13"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</row>
    <row r="533" spans="2:13"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</row>
    <row r="534" spans="2:13"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</row>
    <row r="535" spans="2:13"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</row>
    <row r="536" spans="2:13"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</row>
    <row r="537" spans="2:13"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</row>
    <row r="538" spans="2:13"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</row>
    <row r="539" spans="2:13"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</row>
    <row r="540" spans="2:13"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</row>
    <row r="541" spans="2:13"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</row>
    <row r="542" spans="2:13"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</row>
    <row r="543" spans="2:13"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</row>
    <row r="544" spans="2:13"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</row>
    <row r="545" spans="2:13"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</row>
    <row r="546" spans="2:13"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</row>
    <row r="547" spans="2:13"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</row>
    <row r="548" spans="2:13"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</row>
    <row r="549" spans="2:13"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</row>
    <row r="550" spans="2:13"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</row>
    <row r="551" spans="2:13"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</row>
    <row r="552" spans="2:13"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</row>
    <row r="553" spans="2:13"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</row>
    <row r="554" spans="2:13"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</row>
    <row r="555" spans="2:13"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</row>
    <row r="556" spans="2:13"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</row>
    <row r="557" spans="2:13"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</row>
    <row r="558" spans="2:13"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</row>
    <row r="559" spans="2:13"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</row>
    <row r="560" spans="2:13"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</row>
    <row r="561" spans="2:13"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</row>
    <row r="562" spans="2:13"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</row>
    <row r="563" spans="2:13"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</row>
    <row r="564" spans="2:13"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</row>
    <row r="565" spans="2:13"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</row>
    <row r="566" spans="2:13"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</row>
    <row r="567" spans="2:13"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</row>
    <row r="568" spans="2:13"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</row>
    <row r="569" spans="2:13"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</row>
    <row r="570" spans="2:13"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</row>
    <row r="571" spans="2:13"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</row>
    <row r="572" spans="2:13"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</row>
    <row r="573" spans="2:13"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</row>
    <row r="574" spans="2:13"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</row>
    <row r="575" spans="2:13"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</row>
    <row r="576" spans="2:13"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</row>
    <row r="577" spans="2:13"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</row>
    <row r="578" spans="2:13"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</row>
    <row r="579" spans="2:13"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</row>
    <row r="580" spans="2:13"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</row>
    <row r="581" spans="2:13"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</row>
    <row r="582" spans="2:13"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</row>
    <row r="583" spans="2:13"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</row>
    <row r="584" spans="2:13"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</row>
    <row r="585" spans="2:13"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</row>
    <row r="586" spans="2:13"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</row>
    <row r="587" spans="2:13"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</row>
    <row r="588" spans="2:13"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</row>
    <row r="589" spans="2:13"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</row>
    <row r="590" spans="2:13"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</row>
    <row r="591" spans="2:13"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</row>
    <row r="592" spans="2:13"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</row>
    <row r="593" spans="2:13"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</row>
    <row r="594" spans="2:13"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</row>
    <row r="595" spans="2:13"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</row>
    <row r="596" spans="2:13"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</row>
    <row r="597" spans="2:13"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</row>
    <row r="598" spans="2:13"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</row>
    <row r="599" spans="2:13"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</row>
    <row r="600" spans="2:13"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</row>
    <row r="601" spans="2:13"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</row>
    <row r="602" spans="2:13"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</row>
    <row r="603" spans="2:13"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</row>
    <row r="604" spans="2:13"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</row>
    <row r="605" spans="2:13"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</row>
    <row r="606" spans="2:13"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</row>
    <row r="607" spans="2:13"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</row>
    <row r="608" spans="2:13"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</row>
    <row r="609" spans="2:13"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</row>
    <row r="610" spans="2:13"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</row>
    <row r="611" spans="2:13"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</row>
    <row r="612" spans="2:13"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</row>
    <row r="613" spans="2:13"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</row>
    <row r="614" spans="2:13"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</row>
    <row r="615" spans="2:13"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</row>
    <row r="616" spans="2:13"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</row>
    <row r="617" spans="2:13"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</row>
    <row r="618" spans="2:13"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</row>
    <row r="619" spans="2:13"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</row>
    <row r="620" spans="2:13"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</row>
    <row r="621" spans="2:13"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</row>
    <row r="622" spans="2:13"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</row>
    <row r="623" spans="2:13"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</row>
    <row r="624" spans="2:13"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</row>
    <row r="625" spans="2:13"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</row>
    <row r="626" spans="2:13"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</row>
    <row r="627" spans="2:13"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</row>
    <row r="628" spans="2:13"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</row>
    <row r="629" spans="2:13"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</row>
    <row r="630" spans="2:13"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</row>
    <row r="631" spans="2:13"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</row>
    <row r="632" spans="2:13"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</row>
    <row r="633" spans="2:13"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</row>
    <row r="634" spans="2:13"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</row>
    <row r="635" spans="2:13"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</row>
    <row r="636" spans="2:13"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</row>
    <row r="637" spans="2:13"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</row>
    <row r="638" spans="2:13"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</row>
    <row r="639" spans="2:13"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</row>
    <row r="640" spans="2:13"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</row>
    <row r="641" spans="2:13"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</row>
    <row r="642" spans="2:13"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</row>
    <row r="643" spans="2:13"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</row>
    <row r="644" spans="2:13"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</row>
    <row r="645" spans="2:13"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</row>
    <row r="646" spans="2:13"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</row>
    <row r="647" spans="2:13"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</row>
    <row r="648" spans="2:13"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</row>
    <row r="649" spans="2:13"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</row>
    <row r="650" spans="2:13"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</row>
    <row r="651" spans="2:13"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</row>
    <row r="652" spans="2:13"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</row>
    <row r="653" spans="2:13"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</row>
    <row r="654" spans="2:13"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</row>
    <row r="655" spans="2:13"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</row>
    <row r="656" spans="2:13"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</row>
    <row r="657" spans="2:13"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</row>
    <row r="658" spans="2:13"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</row>
    <row r="659" spans="2:13"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</row>
    <row r="660" spans="2:13"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</row>
    <row r="661" spans="2:13"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</row>
    <row r="662" spans="2:13"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</row>
    <row r="663" spans="2:13"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</row>
    <row r="664" spans="2:13"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</row>
    <row r="665" spans="2:13"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</row>
    <row r="666" spans="2:13"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</row>
    <row r="667" spans="2:13"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</row>
    <row r="668" spans="2:13"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</row>
    <row r="669" spans="2:13"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</row>
    <row r="670" spans="2:13"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</row>
    <row r="671" spans="2:13"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</row>
    <row r="672" spans="2:13"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</row>
    <row r="673" spans="2:13"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</row>
    <row r="674" spans="2:13"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</row>
    <row r="675" spans="2:13"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</row>
    <row r="676" spans="2:13"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</row>
    <row r="677" spans="2:13"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</row>
    <row r="678" spans="2:13"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</row>
    <row r="679" spans="2:13"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</row>
    <row r="680" spans="2:13"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</row>
    <row r="681" spans="2:13"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</row>
    <row r="682" spans="2:13"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</row>
    <row r="683" spans="2:13"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</row>
    <row r="684" spans="2:13"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</row>
    <row r="685" spans="2:13"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</row>
    <row r="686" spans="2:13"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</row>
    <row r="687" spans="2:13"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</row>
    <row r="688" spans="2:13"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</row>
    <row r="689" spans="2:13"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</row>
    <row r="690" spans="2:13"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</row>
    <row r="691" spans="2:13"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</row>
    <row r="692" spans="2:13"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</row>
    <row r="693" spans="2:13"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</row>
    <row r="694" spans="2:13"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</row>
    <row r="695" spans="2:13"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</row>
    <row r="696" spans="2:13"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</row>
    <row r="697" spans="2:13"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</row>
    <row r="698" spans="2:13"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</row>
    <row r="699" spans="2:13"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</row>
    <row r="700" spans="2:13"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</row>
    <row r="701" spans="2:13"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</row>
    <row r="702" spans="2:13"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</row>
    <row r="703" spans="2:13"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</row>
    <row r="704" spans="2:13"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</row>
    <row r="705" spans="2:13"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</row>
    <row r="706" spans="2:13"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</row>
    <row r="707" spans="2:13"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</row>
    <row r="708" spans="2:13"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</row>
    <row r="709" spans="2:13"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</row>
    <row r="710" spans="2:13"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</row>
    <row r="711" spans="2:13"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</row>
    <row r="712" spans="2:13"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</row>
    <row r="713" spans="2:13"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</row>
    <row r="714" spans="2:13"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</row>
    <row r="715" spans="2:13"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</row>
    <row r="716" spans="2:13"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</row>
    <row r="717" spans="2:13"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</row>
    <row r="718" spans="2:13"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</row>
    <row r="719" spans="2:13"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</row>
    <row r="720" spans="2:13"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</row>
    <row r="721" spans="2:13"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</row>
    <row r="722" spans="2:13"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</row>
    <row r="723" spans="2:13"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</row>
    <row r="724" spans="2:13"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</row>
    <row r="725" spans="2:13"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</row>
    <row r="726" spans="2:13"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</row>
    <row r="727" spans="2:13"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</row>
    <row r="728" spans="2:13"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</row>
    <row r="729" spans="2:13"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</row>
    <row r="730" spans="2:13"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</row>
    <row r="731" spans="2:13"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</row>
    <row r="732" spans="2:13"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</row>
    <row r="733" spans="2:13"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</row>
    <row r="734" spans="2:13"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</row>
    <row r="735" spans="2:13"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</row>
    <row r="736" spans="2:13"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</row>
    <row r="737" spans="2:13"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</row>
    <row r="738" spans="2:13"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</row>
    <row r="739" spans="2:13"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</row>
    <row r="740" spans="2:13"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</row>
    <row r="741" spans="2:13"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</row>
    <row r="742" spans="2:13"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</row>
    <row r="743" spans="2:13"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</row>
    <row r="744" spans="2:13"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</row>
    <row r="745" spans="2:13"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</row>
    <row r="746" spans="2:13"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</row>
    <row r="747" spans="2:13"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</row>
    <row r="748" spans="2:13"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</row>
    <row r="749" spans="2:13"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</row>
    <row r="750" spans="2:13"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</row>
    <row r="751" spans="2:13"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</row>
    <row r="752" spans="2:13"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</row>
    <row r="753" spans="2:13"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</row>
    <row r="754" spans="2:13"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</row>
    <row r="755" spans="2:13"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</row>
    <row r="756" spans="2:13"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</row>
    <row r="757" spans="2:13"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</row>
    <row r="758" spans="2:13"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</row>
    <row r="759" spans="2:13"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</row>
    <row r="760" spans="2:13"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</row>
    <row r="761" spans="2:13"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</row>
    <row r="762" spans="2:13"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</row>
    <row r="763" spans="2:13"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</row>
    <row r="764" spans="2:13"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</row>
    <row r="765" spans="2:13"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</row>
    <row r="766" spans="2:13"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</row>
    <row r="767" spans="2:13"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</row>
    <row r="768" spans="2:13"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</row>
    <row r="769" spans="2:13"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</row>
    <row r="770" spans="2:13"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</row>
    <row r="771" spans="2:13"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</row>
    <row r="772" spans="2:13"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</row>
    <row r="773" spans="2:13"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</row>
    <row r="774" spans="2:13"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</row>
    <row r="775" spans="2:13"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</row>
    <row r="776" spans="2:13"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</row>
    <row r="777" spans="2:13"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</row>
    <row r="778" spans="2:13"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</row>
    <row r="779" spans="2:13"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</row>
    <row r="780" spans="2:13"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</row>
    <row r="781" spans="2:13"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</row>
    <row r="782" spans="2:13"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</row>
    <row r="783" spans="2:13"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</row>
    <row r="784" spans="2:13"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</row>
    <row r="785" spans="2:13"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</row>
    <row r="786" spans="2:13"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</row>
    <row r="787" spans="2:13"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</row>
    <row r="788" spans="2:13"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</row>
    <row r="789" spans="2:13"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</row>
    <row r="790" spans="2:13"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</row>
    <row r="791" spans="2:13"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</row>
    <row r="792" spans="2:13"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</row>
    <row r="793" spans="2:13"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</row>
    <row r="794" spans="2:13"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</row>
    <row r="795" spans="2:13"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</row>
    <row r="796" spans="2:13"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</row>
    <row r="797" spans="2:13"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</row>
    <row r="798" spans="2:13"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</row>
    <row r="799" spans="2:13"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</row>
    <row r="800" spans="2:13"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</row>
    <row r="801" spans="2:13"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</row>
    <row r="802" spans="2:13"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</row>
    <row r="803" spans="2:13"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</row>
    <row r="804" spans="2:13"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</row>
    <row r="805" spans="2:13"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</row>
    <row r="806" spans="2:13"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</row>
    <row r="807" spans="2:13"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</row>
    <row r="808" spans="2:13"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</row>
    <row r="809" spans="2:13"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</row>
    <row r="810" spans="2:13"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</row>
    <row r="811" spans="2:13"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</row>
    <row r="812" spans="2:13"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</row>
    <row r="813" spans="2:13"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</row>
    <row r="814" spans="2:13"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</row>
    <row r="815" spans="2:13"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</row>
    <row r="816" spans="2:13"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</row>
    <row r="817" spans="2:13"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</row>
    <row r="818" spans="2:13"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</row>
    <row r="819" spans="2:13"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</row>
    <row r="820" spans="2:13"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</row>
    <row r="821" spans="2:13"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</row>
    <row r="822" spans="2:13"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</row>
    <row r="823" spans="2:13"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</row>
    <row r="824" spans="2:13"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</row>
    <row r="825" spans="2:13"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</row>
    <row r="826" spans="2:13"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</row>
    <row r="827" spans="2:13"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</row>
    <row r="828" spans="2:13"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</row>
    <row r="829" spans="2:13"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</row>
    <row r="830" spans="2:13"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</row>
    <row r="831" spans="2:13"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</row>
    <row r="832" spans="2:13"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</row>
    <row r="833" spans="2:13"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</row>
    <row r="834" spans="2:13"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</row>
    <row r="835" spans="2:13"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</row>
    <row r="836" spans="2:13"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</row>
    <row r="837" spans="2:13"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</row>
    <row r="838" spans="2:13"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</row>
    <row r="839" spans="2:13"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</row>
    <row r="840" spans="2:13"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</row>
    <row r="841" spans="2:13"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</row>
    <row r="842" spans="2:13"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</row>
    <row r="843" spans="2:13"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</row>
    <row r="844" spans="2:13"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</row>
    <row r="845" spans="2:13"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</row>
    <row r="846" spans="2:13"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</row>
    <row r="847" spans="2:13"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</row>
    <row r="848" spans="2:13"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</row>
    <row r="849" spans="2:13"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</row>
    <row r="850" spans="2:13"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</row>
    <row r="851" spans="2:13"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</row>
    <row r="852" spans="2:13"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</row>
    <row r="853" spans="2:13"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</row>
    <row r="854" spans="2:13"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</row>
    <row r="855" spans="2:13"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</row>
    <row r="856" spans="2:13"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</row>
    <row r="857" spans="2:13"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</row>
    <row r="858" spans="2:13"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</row>
    <row r="859" spans="2:13"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</row>
    <row r="860" spans="2:13"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</row>
    <row r="861" spans="2:13"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</row>
    <row r="862" spans="2:13"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</row>
    <row r="863" spans="2:13"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</row>
    <row r="864" spans="2:13"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</row>
    <row r="865" spans="2:13"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</row>
    <row r="866" spans="2:13"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</row>
    <row r="867" spans="2:13"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</row>
    <row r="868" spans="2:13"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</row>
    <row r="869" spans="2:13"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</row>
    <row r="870" spans="2:13"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</row>
    <row r="871" spans="2:13"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</row>
    <row r="872" spans="2:13"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</row>
    <row r="873" spans="2:13"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</row>
    <row r="874" spans="2:13"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</row>
    <row r="875" spans="2:13"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</row>
    <row r="876" spans="2:13"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</row>
    <row r="877" spans="2:13"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</row>
    <row r="878" spans="2:13"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</row>
    <row r="879" spans="2:13"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</row>
    <row r="880" spans="2:13"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</row>
    <row r="881" spans="2:13"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</row>
    <row r="882" spans="2:13"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</row>
    <row r="883" spans="2:13"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</row>
    <row r="884" spans="2:13"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</row>
    <row r="885" spans="2:13"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</row>
    <row r="886" spans="2:13"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</row>
    <row r="887" spans="2:13"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</row>
    <row r="888" spans="2:13"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</row>
    <row r="889" spans="2:13"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</row>
    <row r="890" spans="2:13"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</row>
    <row r="891" spans="2:13"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</row>
    <row r="892" spans="2:13"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</row>
    <row r="893" spans="2:13"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</row>
    <row r="894" spans="2:13"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</row>
    <row r="895" spans="2:13"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</row>
    <row r="896" spans="2:13"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</row>
    <row r="897" spans="2:13"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</row>
    <row r="898" spans="2:13"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</row>
    <row r="899" spans="2:13"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</row>
    <row r="900" spans="2:13"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</row>
    <row r="901" spans="2:13"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</row>
    <row r="902" spans="2:13"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</row>
    <row r="903" spans="2:13"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</row>
    <row r="904" spans="2:13"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</row>
    <row r="905" spans="2:13"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</row>
    <row r="906" spans="2:13"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</row>
    <row r="907" spans="2:13"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</row>
    <row r="908" spans="2:13"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</row>
    <row r="909" spans="2:13"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</row>
    <row r="910" spans="2:13"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</row>
    <row r="911" spans="2:13"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</row>
    <row r="912" spans="2:13"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</row>
    <row r="913" spans="2:13"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</row>
    <row r="914" spans="2:13"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</row>
    <row r="915" spans="2:13"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</row>
    <row r="916" spans="2:13"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</row>
    <row r="917" spans="2:13"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</row>
    <row r="918" spans="2:13"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</row>
    <row r="919" spans="2:13"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</row>
    <row r="920" spans="2:13"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</row>
    <row r="921" spans="2:13"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</row>
    <row r="922" spans="2:13"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</row>
    <row r="923" spans="2:13"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</row>
    <row r="924" spans="2:13"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</row>
    <row r="925" spans="2:13"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</row>
    <row r="926" spans="2:13"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</row>
    <row r="927" spans="2:13"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</row>
    <row r="928" spans="2:13"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</row>
    <row r="929" spans="2:13"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</row>
    <row r="930" spans="2:13"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</row>
    <row r="931" spans="2:13"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</row>
    <row r="932" spans="2:13"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</row>
    <row r="933" spans="2:13"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</row>
    <row r="934" spans="2:13"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</row>
    <row r="935" spans="2:13"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</row>
    <row r="936" spans="2:13"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</row>
    <row r="937" spans="2:13"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</row>
    <row r="938" spans="2:13"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</row>
    <row r="939" spans="2:13"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</row>
    <row r="940" spans="2:13"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</row>
    <row r="941" spans="2:13"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</row>
    <row r="942" spans="2:13"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</row>
    <row r="943" spans="2:13"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</row>
    <row r="944" spans="2:13"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</row>
    <row r="945" spans="2:13"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</row>
    <row r="946" spans="2:13"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</row>
    <row r="947" spans="2:13"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</row>
    <row r="948" spans="2:13"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</row>
    <row r="949" spans="2:13"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</row>
    <row r="950" spans="2:13"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</row>
    <row r="951" spans="2:13"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</row>
    <row r="952" spans="2:13"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</row>
    <row r="953" spans="2:13"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</row>
    <row r="954" spans="2:13"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</row>
    <row r="955" spans="2:13"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</row>
    <row r="956" spans="2:13"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</row>
    <row r="957" spans="2:13"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</row>
    <row r="958" spans="2:13"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</row>
    <row r="959" spans="2:13"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</row>
    <row r="960" spans="2:13"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</row>
    <row r="961" spans="2:13"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</row>
    <row r="962" spans="2:13"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</row>
    <row r="963" spans="2:13"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</row>
    <row r="964" spans="2:13"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</row>
    <row r="965" spans="2:13"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</row>
    <row r="966" spans="2:13"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</row>
    <row r="967" spans="2:13"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</row>
    <row r="968" spans="2:13"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</row>
    <row r="969" spans="2:13"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</row>
    <row r="970" spans="2:13"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</row>
    <row r="971" spans="2:13"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</row>
    <row r="972" spans="2:13"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</row>
    <row r="973" spans="2:13"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</row>
    <row r="974" spans="2:13"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</row>
    <row r="975" spans="2:13"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</row>
    <row r="976" spans="2:13"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</row>
    <row r="977" spans="2:13"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</row>
    <row r="978" spans="2:13"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</row>
    <row r="979" spans="2:13"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</row>
    <row r="980" spans="2:13"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</row>
    <row r="981" spans="2:13"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</row>
    <row r="982" spans="2:13"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</row>
    <row r="983" spans="2:13"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</row>
    <row r="984" spans="2:13"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</row>
    <row r="985" spans="2:13"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</row>
    <row r="986" spans="2:13"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</row>
    <row r="987" spans="2:13"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</row>
    <row r="988" spans="2:13"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</row>
    <row r="989" spans="2:13"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</row>
    <row r="990" spans="2:13"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</row>
    <row r="991" spans="2:13"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</row>
    <row r="992" spans="2:13"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</row>
    <row r="993" spans="2:13"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</row>
    <row r="994" spans="2:13"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</row>
    <row r="995" spans="2:13"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</row>
    <row r="996" spans="2:13"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</row>
    <row r="997" spans="2:13"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</row>
    <row r="998" spans="2:13"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</row>
    <row r="999" spans="2:13"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</row>
    <row r="1000" spans="2:13"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</row>
    <row r="1001" spans="2:13"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</row>
    <row r="1002" spans="2:13"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</row>
    <row r="1003" spans="2:13"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</row>
    <row r="1004" spans="2:13"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</row>
    <row r="1005" spans="2:13"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</row>
    <row r="1006" spans="2:13"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</row>
    <row r="1007" spans="2:13"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</row>
    <row r="1008" spans="2:13"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</row>
    <row r="1009" spans="2:13"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</row>
    <row r="1010" spans="2:13"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</row>
    <row r="1011" spans="2:13"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</row>
    <row r="1012" spans="2:13"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</row>
    <row r="1013" spans="2:13"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</row>
    <row r="1014" spans="2:13"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</row>
    <row r="1015" spans="2:13"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</row>
    <row r="1016" spans="2:13"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</row>
    <row r="1017" spans="2:13">
      <c r="B1017" s="53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</row>
    <row r="1018" spans="2:13">
      <c r="B1018" s="53"/>
      <c r="C1018" s="53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</row>
    <row r="1019" spans="2:13">
      <c r="B1019" s="53"/>
      <c r="C1019" s="53"/>
      <c r="D1019" s="53"/>
      <c r="E1019" s="53"/>
      <c r="F1019" s="53"/>
      <c r="G1019" s="53"/>
      <c r="H1019" s="53"/>
      <c r="I1019" s="53"/>
      <c r="J1019" s="53"/>
      <c r="K1019" s="53"/>
      <c r="L1019" s="53"/>
      <c r="M1019" s="53"/>
    </row>
    <row r="1020" spans="2:13">
      <c r="B1020" s="53"/>
      <c r="C1020" s="53"/>
      <c r="D1020" s="53"/>
      <c r="E1020" s="53"/>
      <c r="F1020" s="53"/>
      <c r="G1020" s="53"/>
      <c r="H1020" s="53"/>
      <c r="I1020" s="53"/>
      <c r="J1020" s="53"/>
      <c r="K1020" s="53"/>
      <c r="L1020" s="53"/>
      <c r="M1020" s="53"/>
    </row>
    <row r="1021" spans="2:13">
      <c r="B1021" s="53"/>
      <c r="C1021" s="53"/>
      <c r="D1021" s="53"/>
      <c r="E1021" s="53"/>
      <c r="F1021" s="53"/>
      <c r="G1021" s="53"/>
      <c r="H1021" s="53"/>
      <c r="I1021" s="53"/>
      <c r="J1021" s="53"/>
      <c r="K1021" s="53"/>
      <c r="L1021" s="53"/>
      <c r="M1021" s="53"/>
    </row>
    <row r="1022" spans="2:13">
      <c r="B1022" s="53"/>
      <c r="C1022" s="53"/>
      <c r="D1022" s="53"/>
      <c r="E1022" s="53"/>
      <c r="F1022" s="53"/>
      <c r="G1022" s="53"/>
      <c r="H1022" s="53"/>
      <c r="I1022" s="53"/>
      <c r="J1022" s="53"/>
      <c r="K1022" s="53"/>
      <c r="L1022" s="53"/>
      <c r="M1022" s="53"/>
    </row>
    <row r="1023" spans="2:13">
      <c r="B1023" s="53"/>
      <c r="C1023" s="53"/>
      <c r="D1023" s="53"/>
      <c r="E1023" s="53"/>
      <c r="F1023" s="53"/>
      <c r="G1023" s="53"/>
      <c r="H1023" s="53"/>
      <c r="I1023" s="53"/>
      <c r="J1023" s="53"/>
      <c r="K1023" s="53"/>
      <c r="L1023" s="53"/>
      <c r="M1023" s="53"/>
    </row>
    <row r="1024" spans="2:13">
      <c r="B1024" s="53"/>
      <c r="C1024" s="53"/>
      <c r="D1024" s="53"/>
      <c r="E1024" s="53"/>
      <c r="F1024" s="53"/>
      <c r="G1024" s="53"/>
      <c r="H1024" s="53"/>
      <c r="I1024" s="53"/>
      <c r="J1024" s="53"/>
      <c r="K1024" s="53"/>
      <c r="L1024" s="53"/>
      <c r="M1024" s="53"/>
    </row>
    <row r="1025" spans="2:13">
      <c r="B1025" s="53"/>
      <c r="C1025" s="53"/>
      <c r="D1025" s="53"/>
      <c r="E1025" s="53"/>
      <c r="F1025" s="53"/>
      <c r="G1025" s="53"/>
      <c r="H1025" s="53"/>
      <c r="I1025" s="53"/>
      <c r="J1025" s="53"/>
      <c r="K1025" s="53"/>
      <c r="L1025" s="53"/>
      <c r="M1025" s="53"/>
    </row>
    <row r="1026" spans="2:13">
      <c r="B1026" s="53"/>
      <c r="C1026" s="53"/>
      <c r="D1026" s="53"/>
      <c r="E1026" s="53"/>
      <c r="F1026" s="53"/>
      <c r="G1026" s="53"/>
      <c r="H1026" s="53"/>
      <c r="I1026" s="53"/>
      <c r="J1026" s="53"/>
      <c r="K1026" s="53"/>
      <c r="L1026" s="53"/>
      <c r="M1026" s="53"/>
    </row>
    <row r="1027" spans="2:13">
      <c r="B1027" s="53"/>
      <c r="C1027" s="53"/>
      <c r="D1027" s="53"/>
      <c r="E1027" s="53"/>
      <c r="F1027" s="53"/>
      <c r="G1027" s="53"/>
      <c r="H1027" s="53"/>
      <c r="I1027" s="53"/>
      <c r="J1027" s="53"/>
      <c r="K1027" s="53"/>
      <c r="L1027" s="53"/>
      <c r="M1027" s="53"/>
    </row>
    <row r="1028" spans="2:13">
      <c r="B1028" s="53"/>
      <c r="C1028" s="53"/>
      <c r="D1028" s="53"/>
      <c r="E1028" s="53"/>
      <c r="F1028" s="53"/>
      <c r="G1028" s="53"/>
      <c r="H1028" s="53"/>
      <c r="I1028" s="53"/>
      <c r="J1028" s="53"/>
      <c r="K1028" s="53"/>
      <c r="L1028" s="53"/>
      <c r="M1028" s="53"/>
    </row>
    <row r="1029" spans="2:13">
      <c r="B1029" s="53"/>
      <c r="C1029" s="53"/>
      <c r="D1029" s="53"/>
      <c r="E1029" s="53"/>
      <c r="F1029" s="53"/>
      <c r="G1029" s="53"/>
      <c r="H1029" s="53"/>
      <c r="I1029" s="53"/>
      <c r="J1029" s="53"/>
      <c r="K1029" s="53"/>
      <c r="L1029" s="53"/>
      <c r="M1029" s="53"/>
    </row>
    <row r="1030" spans="2:13">
      <c r="B1030" s="53"/>
      <c r="C1030" s="53"/>
      <c r="D1030" s="53"/>
      <c r="E1030" s="53"/>
      <c r="F1030" s="53"/>
      <c r="G1030" s="53"/>
      <c r="H1030" s="53"/>
      <c r="I1030" s="53"/>
      <c r="J1030" s="53"/>
      <c r="K1030" s="53"/>
      <c r="L1030" s="53"/>
      <c r="M1030" s="53"/>
    </row>
    <row r="1031" spans="2:13">
      <c r="B1031" s="53"/>
      <c r="C1031" s="53"/>
      <c r="D1031" s="53"/>
      <c r="E1031" s="53"/>
      <c r="F1031" s="53"/>
      <c r="G1031" s="53"/>
      <c r="H1031" s="53"/>
      <c r="I1031" s="53"/>
      <c r="J1031" s="53"/>
      <c r="K1031" s="53"/>
      <c r="L1031" s="53"/>
      <c r="M1031" s="53"/>
    </row>
    <row r="1032" spans="2:13">
      <c r="B1032" s="53"/>
      <c r="C1032" s="53"/>
      <c r="D1032" s="53"/>
      <c r="E1032" s="53"/>
      <c r="F1032" s="53"/>
      <c r="G1032" s="53"/>
      <c r="H1032" s="53"/>
      <c r="I1032" s="53"/>
      <c r="J1032" s="53"/>
      <c r="K1032" s="53"/>
      <c r="L1032" s="53"/>
      <c r="M1032" s="53"/>
    </row>
    <row r="1033" spans="2:13">
      <c r="B1033" s="53"/>
      <c r="C1033" s="53"/>
      <c r="D1033" s="53"/>
      <c r="E1033" s="53"/>
      <c r="F1033" s="53"/>
      <c r="G1033" s="53"/>
      <c r="H1033" s="53"/>
      <c r="I1033" s="53"/>
      <c r="J1033" s="53"/>
      <c r="K1033" s="53"/>
      <c r="L1033" s="53"/>
      <c r="M1033" s="53"/>
    </row>
    <row r="1034" spans="2:13">
      <c r="B1034" s="53"/>
      <c r="C1034" s="53"/>
      <c r="D1034" s="53"/>
      <c r="E1034" s="53"/>
      <c r="F1034" s="53"/>
      <c r="G1034" s="53"/>
      <c r="H1034" s="53"/>
      <c r="I1034" s="53"/>
      <c r="J1034" s="53"/>
      <c r="K1034" s="53"/>
      <c r="L1034" s="53"/>
      <c r="M1034" s="53"/>
    </row>
    <row r="1035" spans="2:13">
      <c r="B1035" s="53"/>
      <c r="C1035" s="53"/>
      <c r="D1035" s="53"/>
      <c r="E1035" s="53"/>
      <c r="F1035" s="53"/>
      <c r="G1035" s="53"/>
      <c r="H1035" s="53"/>
      <c r="I1035" s="53"/>
      <c r="J1035" s="53"/>
      <c r="K1035" s="53"/>
      <c r="L1035" s="53"/>
      <c r="M1035" s="53"/>
    </row>
    <row r="1036" spans="2:13">
      <c r="B1036" s="53"/>
      <c r="C1036" s="53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</row>
    <row r="1037" spans="2:13">
      <c r="B1037" s="53"/>
      <c r="C1037" s="53"/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</row>
    <row r="1038" spans="2:13">
      <c r="B1038" s="53"/>
      <c r="C1038" s="53"/>
      <c r="D1038" s="53"/>
      <c r="E1038" s="53"/>
      <c r="F1038" s="53"/>
      <c r="G1038" s="53"/>
      <c r="H1038" s="53"/>
      <c r="I1038" s="53"/>
      <c r="J1038" s="53"/>
      <c r="K1038" s="53"/>
      <c r="L1038" s="53"/>
      <c r="M1038" s="53"/>
    </row>
    <row r="1039" spans="2:13">
      <c r="B1039" s="53"/>
      <c r="C1039" s="53"/>
      <c r="D1039" s="53"/>
      <c r="E1039" s="53"/>
      <c r="F1039" s="53"/>
      <c r="G1039" s="53"/>
      <c r="H1039" s="53"/>
      <c r="I1039" s="53"/>
      <c r="J1039" s="53"/>
      <c r="K1039" s="53"/>
      <c r="L1039" s="53"/>
      <c r="M1039" s="53"/>
    </row>
    <row r="1040" spans="2:13">
      <c r="B1040" s="53"/>
      <c r="C1040" s="53"/>
      <c r="D1040" s="53"/>
      <c r="E1040" s="53"/>
      <c r="F1040" s="53"/>
      <c r="G1040" s="53"/>
      <c r="H1040" s="53"/>
      <c r="I1040" s="53"/>
      <c r="J1040" s="53"/>
      <c r="K1040" s="53"/>
      <c r="L1040" s="53"/>
      <c r="M1040" s="53"/>
    </row>
    <row r="1041" spans="2:13">
      <c r="B1041" s="53"/>
      <c r="C1041" s="53"/>
      <c r="D1041" s="53"/>
      <c r="E1041" s="53"/>
      <c r="F1041" s="53"/>
      <c r="G1041" s="53"/>
      <c r="H1041" s="53"/>
      <c r="I1041" s="53"/>
      <c r="J1041" s="53"/>
      <c r="K1041" s="53"/>
      <c r="L1041" s="53"/>
      <c r="M1041" s="53"/>
    </row>
    <row r="1042" spans="2:13">
      <c r="B1042" s="53"/>
      <c r="C1042" s="53"/>
      <c r="D1042" s="53"/>
      <c r="E1042" s="53"/>
      <c r="F1042" s="53"/>
      <c r="G1042" s="53"/>
      <c r="H1042" s="53"/>
      <c r="I1042" s="53"/>
      <c r="J1042" s="53"/>
      <c r="K1042" s="53"/>
      <c r="L1042" s="53"/>
      <c r="M1042" s="53"/>
    </row>
    <row r="1043" spans="2:13">
      <c r="B1043" s="53"/>
      <c r="C1043" s="53"/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</row>
    <row r="1044" spans="2:13">
      <c r="B1044" s="53"/>
      <c r="C1044" s="53"/>
      <c r="D1044" s="53"/>
      <c r="E1044" s="53"/>
      <c r="F1044" s="53"/>
      <c r="G1044" s="53"/>
      <c r="H1044" s="53"/>
      <c r="I1044" s="53"/>
      <c r="J1044" s="53"/>
      <c r="K1044" s="53"/>
      <c r="L1044" s="53"/>
      <c r="M1044" s="53"/>
    </row>
    <row r="1045" spans="2:13">
      <c r="B1045" s="53"/>
      <c r="C1045" s="53"/>
      <c r="D1045" s="53"/>
      <c r="E1045" s="53"/>
      <c r="F1045" s="53"/>
      <c r="G1045" s="53"/>
      <c r="H1045" s="53"/>
      <c r="I1045" s="53"/>
      <c r="J1045" s="53"/>
      <c r="K1045" s="53"/>
      <c r="L1045" s="53"/>
      <c r="M1045" s="53"/>
    </row>
    <row r="1046" spans="2:13">
      <c r="B1046" s="53"/>
      <c r="C1046" s="53"/>
      <c r="D1046" s="53"/>
      <c r="E1046" s="53"/>
      <c r="F1046" s="53"/>
      <c r="G1046" s="53"/>
      <c r="H1046" s="53"/>
      <c r="I1046" s="53"/>
      <c r="J1046" s="53"/>
      <c r="K1046" s="53"/>
      <c r="L1046" s="53"/>
      <c r="M1046" s="53"/>
    </row>
    <row r="1047" spans="2:13">
      <c r="B1047" s="53"/>
      <c r="C1047" s="53"/>
      <c r="D1047" s="53"/>
      <c r="E1047" s="53"/>
      <c r="F1047" s="53"/>
      <c r="G1047" s="53"/>
      <c r="H1047" s="53"/>
      <c r="I1047" s="53"/>
      <c r="J1047" s="53"/>
      <c r="K1047" s="53"/>
      <c r="L1047" s="53"/>
      <c r="M1047" s="53"/>
    </row>
    <row r="1048" spans="2:13"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</row>
    <row r="1049" spans="2:13">
      <c r="B1049" s="53"/>
      <c r="C1049" s="53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</row>
    <row r="1050" spans="2:13">
      <c r="B1050" s="53"/>
      <c r="C1050" s="53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</row>
    <row r="1051" spans="2:13">
      <c r="B1051" s="53"/>
      <c r="C1051" s="53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</row>
    <row r="1052" spans="2:13">
      <c r="B1052" s="53"/>
      <c r="C1052" s="53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</row>
    <row r="1053" spans="2:13">
      <c r="B1053" s="53"/>
      <c r="C1053" s="53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</row>
    <row r="1054" spans="2:13">
      <c r="B1054" s="53"/>
      <c r="C1054" s="53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</row>
    <row r="1055" spans="2:13">
      <c r="B1055" s="53"/>
      <c r="C1055" s="53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</row>
    <row r="1056" spans="2:13">
      <c r="B1056" s="53"/>
      <c r="C1056" s="53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</row>
    <row r="1057" spans="2:13">
      <c r="B1057" s="53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</row>
    <row r="1058" spans="2:13">
      <c r="B1058" s="53"/>
      <c r="C1058" s="53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</row>
    <row r="1059" spans="2:13">
      <c r="B1059" s="53"/>
      <c r="C1059" s="53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</row>
    <row r="1060" spans="2:13">
      <c r="B1060" s="53"/>
      <c r="C1060" s="53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</row>
    <row r="1061" spans="2:13">
      <c r="B1061" s="53"/>
      <c r="C1061" s="53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</row>
    <row r="1062" spans="2:13">
      <c r="B1062" s="53"/>
      <c r="C1062" s="53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</row>
    <row r="1063" spans="2:13">
      <c r="B1063" s="53"/>
      <c r="C1063" s="53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</row>
    <row r="1064" spans="2:13">
      <c r="B1064" s="53"/>
      <c r="C1064" s="53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</row>
    <row r="1065" spans="2:13">
      <c r="B1065" s="53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</row>
    <row r="1066" spans="2:13">
      <c r="B1066" s="53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</row>
    <row r="1067" spans="2:13">
      <c r="B1067" s="53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</row>
    <row r="1068" spans="2:13">
      <c r="B1068" s="53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</row>
    <row r="1069" spans="2:13">
      <c r="B1069" s="53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</row>
    <row r="1070" spans="2:13">
      <c r="B1070" s="53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</row>
    <row r="1071" spans="2:13">
      <c r="B1071" s="53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</row>
    <row r="1072" spans="2:13">
      <c r="B1072" s="53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</row>
    <row r="1073" spans="2:13">
      <c r="B1073" s="53"/>
      <c r="C1073" s="53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</row>
    <row r="1074" spans="2:13">
      <c r="B1074" s="53"/>
      <c r="C1074" s="53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</row>
    <row r="1075" spans="2:13">
      <c r="B1075" s="53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</row>
    <row r="1076" spans="2:13">
      <c r="B1076" s="53"/>
      <c r="C1076" s="53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</row>
    <row r="1077" spans="2:13">
      <c r="B1077" s="53"/>
      <c r="C1077" s="53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</row>
    <row r="1078" spans="2:13">
      <c r="B1078" s="53"/>
      <c r="C1078" s="53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</row>
    <row r="1079" spans="2:13">
      <c r="B1079" s="53"/>
      <c r="C1079" s="53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</row>
    <row r="1080" spans="2:13">
      <c r="B1080" s="53"/>
      <c r="C1080" s="53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</row>
    <row r="1081" spans="2:13">
      <c r="B1081" s="53"/>
      <c r="C1081" s="53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</row>
    <row r="1082" spans="2:13">
      <c r="B1082" s="53"/>
      <c r="C1082" s="53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</row>
    <row r="1083" spans="2:13">
      <c r="B1083" s="53"/>
      <c r="C1083" s="53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</row>
    <row r="1084" spans="2:13">
      <c r="B1084" s="53"/>
      <c r="C1084" s="53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</row>
    <row r="1085" spans="2:13">
      <c r="B1085" s="53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</row>
    <row r="1086" spans="2:13">
      <c r="B1086" s="53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</row>
    <row r="1087" spans="2:13">
      <c r="B1087" s="53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</row>
    <row r="1088" spans="2:13">
      <c r="B1088" s="53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</row>
    <row r="1089" spans="2:13">
      <c r="B1089" s="53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</row>
    <row r="1090" spans="2:13">
      <c r="B1090" s="53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</row>
    <row r="1091" spans="2:13">
      <c r="B1091" s="53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</row>
    <row r="1092" spans="2:13">
      <c r="B1092" s="53"/>
      <c r="C1092" s="53"/>
      <c r="D1092" s="53"/>
      <c r="E1092" s="53"/>
      <c r="F1092" s="53"/>
      <c r="G1092" s="53"/>
      <c r="H1092" s="53"/>
      <c r="I1092" s="53"/>
      <c r="J1092" s="53"/>
      <c r="K1092" s="53"/>
      <c r="L1092" s="53"/>
      <c r="M1092" s="53"/>
    </row>
    <row r="1093" spans="2:13"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</row>
    <row r="1094" spans="2:13">
      <c r="B1094" s="53"/>
      <c r="C1094" s="53"/>
      <c r="D1094" s="53"/>
      <c r="E1094" s="53"/>
      <c r="F1094" s="53"/>
      <c r="G1094" s="53"/>
      <c r="H1094" s="53"/>
      <c r="I1094" s="53"/>
      <c r="J1094" s="53"/>
      <c r="K1094" s="53"/>
      <c r="L1094" s="53"/>
      <c r="M1094" s="53"/>
    </row>
    <row r="1095" spans="2:13">
      <c r="B1095" s="53"/>
      <c r="C1095" s="53"/>
      <c r="D1095" s="53"/>
      <c r="E1095" s="53"/>
      <c r="F1095" s="53"/>
      <c r="G1095" s="53"/>
      <c r="H1095" s="53"/>
      <c r="I1095" s="53"/>
      <c r="J1095" s="53"/>
      <c r="K1095" s="53"/>
      <c r="L1095" s="53"/>
      <c r="M1095" s="53"/>
    </row>
    <row r="1096" spans="2:13">
      <c r="B1096" s="53"/>
      <c r="C1096" s="53"/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</row>
    <row r="1097" spans="2:13">
      <c r="B1097" s="53"/>
      <c r="C1097" s="53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</row>
    <row r="1098" spans="2:13">
      <c r="B1098" s="53"/>
      <c r="C1098" s="53"/>
      <c r="D1098" s="53"/>
      <c r="E1098" s="53"/>
      <c r="F1098" s="53"/>
      <c r="G1098" s="53"/>
      <c r="H1098" s="53"/>
      <c r="I1098" s="53"/>
      <c r="J1098" s="53"/>
      <c r="K1098" s="53"/>
      <c r="L1098" s="53"/>
      <c r="M1098" s="53"/>
    </row>
    <row r="1099" spans="2:13">
      <c r="B1099" s="53"/>
      <c r="C1099" s="53"/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</row>
    <row r="1100" spans="2:13">
      <c r="B1100" s="53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</row>
    <row r="1101" spans="2:13"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</row>
    <row r="1102" spans="2:13">
      <c r="B1102" s="53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</row>
    <row r="1103" spans="2:13">
      <c r="B1103" s="53"/>
      <c r="C1103" s="53"/>
      <c r="D1103" s="53"/>
      <c r="E1103" s="53"/>
      <c r="F1103" s="53"/>
      <c r="G1103" s="53"/>
      <c r="H1103" s="53"/>
      <c r="I1103" s="53"/>
      <c r="J1103" s="53"/>
      <c r="K1103" s="53"/>
      <c r="L1103" s="53"/>
      <c r="M1103" s="53"/>
    </row>
    <row r="1104" spans="2:13">
      <c r="B1104" s="53"/>
      <c r="C1104" s="53"/>
      <c r="D1104" s="53"/>
      <c r="E1104" s="53"/>
      <c r="F1104" s="53"/>
      <c r="G1104" s="53"/>
      <c r="H1104" s="53"/>
      <c r="I1104" s="53"/>
      <c r="J1104" s="53"/>
      <c r="K1104" s="53"/>
      <c r="L1104" s="53"/>
      <c r="M1104" s="53"/>
    </row>
    <row r="1105" spans="2:13">
      <c r="B1105" s="53"/>
      <c r="C1105" s="53"/>
      <c r="D1105" s="53"/>
      <c r="E1105" s="53"/>
      <c r="F1105" s="53"/>
      <c r="G1105" s="53"/>
      <c r="H1105" s="53"/>
      <c r="I1105" s="53"/>
      <c r="J1105" s="53"/>
      <c r="K1105" s="53"/>
      <c r="L1105" s="53"/>
      <c r="M1105" s="53"/>
    </row>
    <row r="1106" spans="2:13">
      <c r="B1106" s="53"/>
      <c r="C1106" s="53"/>
      <c r="D1106" s="53"/>
      <c r="E1106" s="53"/>
      <c r="F1106" s="53"/>
      <c r="G1106" s="53"/>
      <c r="H1106" s="53"/>
      <c r="I1106" s="53"/>
      <c r="J1106" s="53"/>
      <c r="K1106" s="53"/>
      <c r="L1106" s="53"/>
      <c r="M1106" s="53"/>
    </row>
    <row r="1107" spans="2:13">
      <c r="B1107" s="53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</row>
    <row r="1108" spans="2:13">
      <c r="B1108" s="53"/>
      <c r="C1108" s="53"/>
      <c r="D1108" s="53"/>
      <c r="E1108" s="53"/>
      <c r="F1108" s="53"/>
      <c r="G1108" s="53"/>
      <c r="H1108" s="53"/>
      <c r="I1108" s="53"/>
      <c r="J1108" s="53"/>
      <c r="K1108" s="53"/>
      <c r="L1108" s="53"/>
      <c r="M1108" s="53"/>
    </row>
    <row r="1109" spans="2:13">
      <c r="B1109" s="53"/>
      <c r="C1109" s="53"/>
      <c r="D1109" s="53"/>
      <c r="E1109" s="53"/>
      <c r="F1109" s="53"/>
      <c r="G1109" s="53"/>
      <c r="H1109" s="53"/>
      <c r="I1109" s="53"/>
      <c r="J1109" s="53"/>
      <c r="K1109" s="53"/>
      <c r="L1109" s="53"/>
      <c r="M1109" s="53"/>
    </row>
    <row r="1110" spans="2:13">
      <c r="B1110" s="53"/>
      <c r="C1110" s="53"/>
      <c r="D1110" s="53"/>
      <c r="E1110" s="53"/>
      <c r="F1110" s="53"/>
      <c r="G1110" s="53"/>
      <c r="H1110" s="53"/>
      <c r="I1110" s="53"/>
      <c r="J1110" s="53"/>
      <c r="K1110" s="53"/>
      <c r="L1110" s="53"/>
      <c r="M1110" s="53"/>
    </row>
    <row r="1111" spans="2:13">
      <c r="B1111" s="53"/>
      <c r="C1111" s="53"/>
      <c r="D1111" s="53"/>
      <c r="E1111" s="53"/>
      <c r="F1111" s="53"/>
      <c r="G1111" s="53"/>
      <c r="H1111" s="53"/>
      <c r="I1111" s="53"/>
      <c r="J1111" s="53"/>
      <c r="K1111" s="53"/>
      <c r="L1111" s="53"/>
      <c r="M1111" s="53"/>
    </row>
    <row r="1112" spans="2:13">
      <c r="B1112" s="53"/>
      <c r="C1112" s="53"/>
      <c r="D1112" s="53"/>
      <c r="E1112" s="53"/>
      <c r="F1112" s="53"/>
      <c r="G1112" s="53"/>
      <c r="H1112" s="53"/>
      <c r="I1112" s="53"/>
      <c r="J1112" s="53"/>
      <c r="K1112" s="53"/>
      <c r="L1112" s="53"/>
      <c r="M1112" s="53"/>
    </row>
    <row r="1113" spans="2:13">
      <c r="B1113" s="53"/>
      <c r="C1113" s="53"/>
      <c r="D1113" s="53"/>
      <c r="E1113" s="53"/>
      <c r="F1113" s="53"/>
      <c r="G1113" s="53"/>
      <c r="H1113" s="53"/>
      <c r="I1113" s="53"/>
      <c r="J1113" s="53"/>
      <c r="K1113" s="53"/>
      <c r="L1113" s="53"/>
      <c r="M1113" s="53"/>
    </row>
    <row r="1114" spans="2:13">
      <c r="B1114" s="53"/>
      <c r="C1114" s="53"/>
      <c r="D1114" s="53"/>
      <c r="E1114" s="53"/>
      <c r="F1114" s="53"/>
      <c r="G1114" s="53"/>
      <c r="H1114" s="53"/>
      <c r="I1114" s="53"/>
      <c r="J1114" s="53"/>
      <c r="K1114" s="53"/>
      <c r="L1114" s="53"/>
      <c r="M1114" s="53"/>
    </row>
    <row r="1115" spans="2:13">
      <c r="B1115" s="53"/>
      <c r="C1115" s="53"/>
      <c r="D1115" s="53"/>
      <c r="E1115" s="53"/>
      <c r="F1115" s="53"/>
      <c r="G1115" s="53"/>
      <c r="H1115" s="53"/>
      <c r="I1115" s="53"/>
      <c r="J1115" s="53"/>
      <c r="K1115" s="53"/>
      <c r="L1115" s="53"/>
      <c r="M1115" s="53"/>
    </row>
    <row r="1116" spans="2:13">
      <c r="B1116" s="53"/>
      <c r="C1116" s="53"/>
      <c r="D1116" s="53"/>
      <c r="E1116" s="53"/>
      <c r="F1116" s="53"/>
      <c r="G1116" s="53"/>
      <c r="H1116" s="53"/>
      <c r="I1116" s="53"/>
      <c r="J1116" s="53"/>
      <c r="K1116" s="53"/>
      <c r="L1116" s="53"/>
      <c r="M1116" s="53"/>
    </row>
    <row r="1117" spans="2:13">
      <c r="B1117" s="53"/>
      <c r="C1117" s="53"/>
      <c r="D1117" s="53"/>
      <c r="E1117" s="53"/>
      <c r="F1117" s="53"/>
      <c r="G1117" s="53"/>
      <c r="H1117" s="53"/>
      <c r="I1117" s="53"/>
      <c r="J1117" s="53"/>
      <c r="K1117" s="53"/>
      <c r="L1117" s="53"/>
      <c r="M1117" s="53"/>
    </row>
    <row r="1118" spans="2:13">
      <c r="B1118" s="53"/>
      <c r="C1118" s="53"/>
      <c r="D1118" s="53"/>
      <c r="E1118" s="53"/>
      <c r="F1118" s="53"/>
      <c r="G1118" s="53"/>
      <c r="H1118" s="53"/>
      <c r="I1118" s="53"/>
      <c r="J1118" s="53"/>
      <c r="K1118" s="53"/>
      <c r="L1118" s="53"/>
      <c r="M1118" s="53"/>
    </row>
    <row r="1119" spans="2:13">
      <c r="B1119" s="53"/>
      <c r="C1119" s="53"/>
      <c r="D1119" s="53"/>
      <c r="E1119" s="53"/>
      <c r="F1119" s="53"/>
      <c r="G1119" s="53"/>
      <c r="H1119" s="53"/>
      <c r="I1119" s="53"/>
      <c r="J1119" s="53"/>
      <c r="K1119" s="53"/>
      <c r="L1119" s="53"/>
      <c r="M1119" s="53"/>
    </row>
    <row r="1120" spans="2:13">
      <c r="B1120" s="53"/>
      <c r="C1120" s="53"/>
      <c r="D1120" s="53"/>
      <c r="E1120" s="53"/>
      <c r="F1120" s="53"/>
      <c r="G1120" s="53"/>
      <c r="H1120" s="53"/>
      <c r="I1120" s="53"/>
      <c r="J1120" s="53"/>
      <c r="K1120" s="53"/>
      <c r="L1120" s="53"/>
      <c r="M1120" s="53"/>
    </row>
    <row r="1121" spans="2:13">
      <c r="B1121" s="53"/>
      <c r="C1121" s="53"/>
      <c r="D1121" s="53"/>
      <c r="E1121" s="53"/>
      <c r="F1121" s="53"/>
      <c r="G1121" s="53"/>
      <c r="H1121" s="53"/>
      <c r="I1121" s="53"/>
      <c r="J1121" s="53"/>
      <c r="K1121" s="53"/>
      <c r="L1121" s="53"/>
      <c r="M1121" s="53"/>
    </row>
    <row r="1122" spans="2:13">
      <c r="B1122" s="53"/>
      <c r="C1122" s="53"/>
      <c r="D1122" s="53"/>
      <c r="E1122" s="53"/>
      <c r="F1122" s="53"/>
      <c r="G1122" s="53"/>
      <c r="H1122" s="53"/>
      <c r="I1122" s="53"/>
      <c r="J1122" s="53"/>
      <c r="K1122" s="53"/>
      <c r="L1122" s="53"/>
      <c r="M1122" s="53"/>
    </row>
    <row r="1123" spans="2:13">
      <c r="B1123" s="53"/>
      <c r="C1123" s="53"/>
      <c r="D1123" s="53"/>
      <c r="E1123" s="53"/>
      <c r="F1123" s="53"/>
      <c r="G1123" s="53"/>
      <c r="H1123" s="53"/>
      <c r="I1123" s="53"/>
      <c r="J1123" s="53"/>
      <c r="K1123" s="53"/>
      <c r="L1123" s="53"/>
      <c r="M1123" s="53"/>
    </row>
    <row r="1124" spans="2:13">
      <c r="B1124" s="53"/>
      <c r="C1124" s="53"/>
      <c r="D1124" s="53"/>
      <c r="E1124" s="53"/>
      <c r="F1124" s="53"/>
      <c r="G1124" s="53"/>
      <c r="H1124" s="53"/>
      <c r="I1124" s="53"/>
      <c r="J1124" s="53"/>
      <c r="K1124" s="53"/>
      <c r="L1124" s="53"/>
      <c r="M1124" s="53"/>
    </row>
    <row r="1125" spans="2:13">
      <c r="B1125" s="53"/>
      <c r="C1125" s="53"/>
      <c r="D1125" s="53"/>
      <c r="E1125" s="53"/>
      <c r="F1125" s="53"/>
      <c r="G1125" s="53"/>
      <c r="H1125" s="53"/>
      <c r="I1125" s="53"/>
      <c r="J1125" s="53"/>
      <c r="K1125" s="53"/>
      <c r="L1125" s="53"/>
      <c r="M1125" s="53"/>
    </row>
    <row r="1126" spans="2:13">
      <c r="B1126" s="53"/>
      <c r="C1126" s="53"/>
      <c r="D1126" s="53"/>
      <c r="E1126" s="53"/>
      <c r="F1126" s="53"/>
      <c r="G1126" s="53"/>
      <c r="H1126" s="53"/>
      <c r="I1126" s="53"/>
      <c r="J1126" s="53"/>
      <c r="K1126" s="53"/>
      <c r="L1126" s="53"/>
      <c r="M1126" s="53"/>
    </row>
    <row r="1127" spans="2:13">
      <c r="B1127" s="53"/>
      <c r="C1127" s="53"/>
      <c r="D1127" s="53"/>
      <c r="E1127" s="53"/>
      <c r="F1127" s="53"/>
      <c r="G1127" s="53"/>
      <c r="H1127" s="53"/>
      <c r="I1127" s="53"/>
      <c r="J1127" s="53"/>
      <c r="K1127" s="53"/>
      <c r="L1127" s="53"/>
      <c r="M1127" s="53"/>
    </row>
    <row r="1128" spans="2:13">
      <c r="B1128" s="53"/>
      <c r="C1128" s="53"/>
      <c r="D1128" s="53"/>
      <c r="E1128" s="53"/>
      <c r="F1128" s="53"/>
      <c r="G1128" s="53"/>
      <c r="H1128" s="53"/>
      <c r="I1128" s="53"/>
      <c r="J1128" s="53"/>
      <c r="K1128" s="53"/>
      <c r="L1128" s="53"/>
      <c r="M1128" s="53"/>
    </row>
    <row r="1129" spans="2:13">
      <c r="B1129" s="53"/>
      <c r="C1129" s="53"/>
      <c r="D1129" s="53"/>
      <c r="E1129" s="53"/>
      <c r="F1129" s="53"/>
      <c r="G1129" s="53"/>
      <c r="H1129" s="53"/>
      <c r="I1129" s="53"/>
      <c r="J1129" s="53"/>
      <c r="K1129" s="53"/>
      <c r="L1129" s="53"/>
      <c r="M1129" s="53"/>
    </row>
    <row r="1130" spans="2:13">
      <c r="B1130" s="53"/>
      <c r="C1130" s="53"/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</row>
    <row r="1131" spans="2:13">
      <c r="B1131" s="53"/>
      <c r="C1131" s="53"/>
      <c r="D1131" s="53"/>
      <c r="E1131" s="53"/>
      <c r="F1131" s="53"/>
      <c r="G1131" s="53"/>
      <c r="H1131" s="53"/>
      <c r="I1131" s="53"/>
      <c r="J1131" s="53"/>
      <c r="K1131" s="53"/>
      <c r="L1131" s="53"/>
      <c r="M1131" s="53"/>
    </row>
    <row r="1132" spans="2:13">
      <c r="B1132" s="53"/>
      <c r="C1132" s="53"/>
      <c r="D1132" s="53"/>
      <c r="E1132" s="53"/>
      <c r="F1132" s="53"/>
      <c r="G1132" s="53"/>
      <c r="H1132" s="53"/>
      <c r="I1132" s="53"/>
      <c r="J1132" s="53"/>
      <c r="K1132" s="53"/>
      <c r="L1132" s="53"/>
      <c r="M1132" s="53"/>
    </row>
    <row r="1133" spans="2:13">
      <c r="B1133" s="53"/>
      <c r="C1133" s="53"/>
      <c r="D1133" s="53"/>
      <c r="E1133" s="53"/>
      <c r="F1133" s="53"/>
      <c r="G1133" s="53"/>
      <c r="H1133" s="53"/>
      <c r="I1133" s="53"/>
      <c r="J1133" s="53"/>
      <c r="K1133" s="53"/>
      <c r="L1133" s="53"/>
      <c r="M1133" s="53"/>
    </row>
    <row r="1134" spans="2:13">
      <c r="B1134" s="53"/>
      <c r="C1134" s="53"/>
      <c r="D1134" s="53"/>
      <c r="E1134" s="53"/>
      <c r="F1134" s="53"/>
      <c r="G1134" s="53"/>
      <c r="H1134" s="53"/>
      <c r="I1134" s="53"/>
      <c r="J1134" s="53"/>
      <c r="K1134" s="53"/>
      <c r="L1134" s="53"/>
      <c r="M1134" s="53"/>
    </row>
    <row r="1135" spans="2:13">
      <c r="B1135" s="53"/>
      <c r="C1135" s="53"/>
      <c r="D1135" s="53"/>
      <c r="E1135" s="53"/>
      <c r="F1135" s="53"/>
      <c r="G1135" s="53"/>
      <c r="H1135" s="53"/>
      <c r="I1135" s="53"/>
      <c r="J1135" s="53"/>
      <c r="K1135" s="53"/>
      <c r="L1135" s="53"/>
      <c r="M1135" s="53"/>
    </row>
    <row r="1136" spans="2:13">
      <c r="B1136" s="53"/>
      <c r="C1136" s="53"/>
      <c r="D1136" s="53"/>
      <c r="E1136" s="53"/>
      <c r="F1136" s="53"/>
      <c r="G1136" s="53"/>
      <c r="H1136" s="53"/>
      <c r="I1136" s="53"/>
      <c r="J1136" s="53"/>
      <c r="K1136" s="53"/>
      <c r="L1136" s="53"/>
      <c r="M1136" s="53"/>
    </row>
    <row r="1137" spans="2:13">
      <c r="B1137" s="53"/>
      <c r="C1137" s="53"/>
      <c r="D1137" s="53"/>
      <c r="E1137" s="53"/>
      <c r="F1137" s="53"/>
      <c r="G1137" s="53"/>
      <c r="H1137" s="53"/>
      <c r="I1137" s="53"/>
      <c r="J1137" s="53"/>
      <c r="K1137" s="53"/>
      <c r="L1137" s="53"/>
      <c r="M1137" s="53"/>
    </row>
    <row r="1138" spans="2:13">
      <c r="B1138" s="53"/>
      <c r="C1138" s="53"/>
      <c r="D1138" s="53"/>
      <c r="E1138" s="53"/>
      <c r="F1138" s="53"/>
      <c r="G1138" s="53"/>
      <c r="H1138" s="53"/>
      <c r="I1138" s="53"/>
      <c r="J1138" s="53"/>
      <c r="K1138" s="53"/>
      <c r="L1138" s="53"/>
      <c r="M1138" s="53"/>
    </row>
    <row r="1139" spans="2:13">
      <c r="B1139" s="53"/>
      <c r="C1139" s="53"/>
      <c r="D1139" s="53"/>
      <c r="E1139" s="53"/>
      <c r="F1139" s="53"/>
      <c r="G1139" s="53"/>
      <c r="H1139" s="53"/>
      <c r="I1139" s="53"/>
      <c r="J1139" s="53"/>
      <c r="K1139" s="53"/>
      <c r="L1139" s="53"/>
      <c r="M1139" s="53"/>
    </row>
    <row r="1140" spans="2:13">
      <c r="B1140" s="53"/>
      <c r="C1140" s="53"/>
      <c r="D1140" s="53"/>
      <c r="E1140" s="53"/>
      <c r="F1140" s="53"/>
      <c r="G1140" s="53"/>
      <c r="H1140" s="53"/>
      <c r="I1140" s="53"/>
      <c r="J1140" s="53"/>
      <c r="K1140" s="53"/>
      <c r="L1140" s="53"/>
      <c r="M1140" s="53"/>
    </row>
    <row r="1141" spans="2:13">
      <c r="B1141" s="53"/>
      <c r="C1141" s="53"/>
      <c r="D1141" s="53"/>
      <c r="E1141" s="53"/>
      <c r="F1141" s="53"/>
      <c r="G1141" s="53"/>
      <c r="H1141" s="53"/>
      <c r="I1141" s="53"/>
      <c r="J1141" s="53"/>
      <c r="K1141" s="53"/>
      <c r="L1141" s="53"/>
      <c r="M1141" s="53"/>
    </row>
    <row r="1142" spans="2:13">
      <c r="B1142" s="53"/>
      <c r="C1142" s="53"/>
      <c r="D1142" s="53"/>
      <c r="E1142" s="53"/>
      <c r="F1142" s="53"/>
      <c r="G1142" s="53"/>
      <c r="H1142" s="53"/>
      <c r="I1142" s="53"/>
      <c r="J1142" s="53"/>
      <c r="K1142" s="53"/>
      <c r="L1142" s="53"/>
      <c r="M1142" s="53"/>
    </row>
    <row r="1143" spans="2:13">
      <c r="B1143" s="53"/>
      <c r="C1143" s="53"/>
      <c r="D1143" s="53"/>
      <c r="E1143" s="53"/>
      <c r="F1143" s="53"/>
      <c r="G1143" s="53"/>
      <c r="H1143" s="53"/>
      <c r="I1143" s="53"/>
      <c r="J1143" s="53"/>
      <c r="K1143" s="53"/>
      <c r="L1143" s="53"/>
      <c r="M1143" s="53"/>
    </row>
    <row r="1144" spans="2:13">
      <c r="B1144" s="53"/>
      <c r="C1144" s="53"/>
      <c r="D1144" s="53"/>
      <c r="E1144" s="53"/>
      <c r="F1144" s="53"/>
      <c r="G1144" s="53"/>
      <c r="H1144" s="53"/>
      <c r="I1144" s="53"/>
      <c r="J1144" s="53"/>
      <c r="K1144" s="53"/>
      <c r="L1144" s="53"/>
      <c r="M1144" s="53"/>
    </row>
    <row r="1145" spans="2:13">
      <c r="B1145" s="53"/>
      <c r="C1145" s="53"/>
      <c r="D1145" s="53"/>
      <c r="E1145" s="53"/>
      <c r="F1145" s="53"/>
      <c r="G1145" s="53"/>
      <c r="H1145" s="53"/>
      <c r="I1145" s="53"/>
      <c r="J1145" s="53"/>
      <c r="K1145" s="53"/>
      <c r="L1145" s="53"/>
      <c r="M1145" s="53"/>
    </row>
    <row r="1146" spans="2:13">
      <c r="B1146" s="53"/>
      <c r="C1146" s="53"/>
      <c r="D1146" s="53"/>
      <c r="E1146" s="53"/>
      <c r="F1146" s="53"/>
      <c r="G1146" s="53"/>
      <c r="H1146" s="53"/>
      <c r="I1146" s="53"/>
      <c r="J1146" s="53"/>
      <c r="K1146" s="53"/>
      <c r="L1146" s="53"/>
      <c r="M1146" s="53"/>
    </row>
    <row r="1147" spans="2:13">
      <c r="B1147" s="53"/>
      <c r="C1147" s="53"/>
      <c r="D1147" s="53"/>
      <c r="E1147" s="53"/>
      <c r="F1147" s="53"/>
      <c r="G1147" s="53"/>
      <c r="H1147" s="53"/>
      <c r="I1147" s="53"/>
      <c r="J1147" s="53"/>
      <c r="K1147" s="53"/>
      <c r="L1147" s="53"/>
      <c r="M1147" s="53"/>
    </row>
    <row r="1148" spans="2:13">
      <c r="B1148" s="53"/>
      <c r="C1148" s="53"/>
      <c r="D1148" s="53"/>
      <c r="E1148" s="53"/>
      <c r="F1148" s="53"/>
      <c r="G1148" s="53"/>
      <c r="H1148" s="53"/>
      <c r="I1148" s="53"/>
      <c r="J1148" s="53"/>
      <c r="K1148" s="53"/>
      <c r="L1148" s="53"/>
      <c r="M1148" s="53"/>
    </row>
    <row r="1149" spans="2:13">
      <c r="B1149" s="53"/>
      <c r="C1149" s="53"/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</row>
    <row r="1150" spans="2:13">
      <c r="B1150" s="53"/>
      <c r="C1150" s="53"/>
      <c r="D1150" s="53"/>
      <c r="E1150" s="53"/>
      <c r="F1150" s="53"/>
      <c r="G1150" s="53"/>
      <c r="H1150" s="53"/>
      <c r="I1150" s="53"/>
      <c r="J1150" s="53"/>
      <c r="K1150" s="53"/>
      <c r="L1150" s="53"/>
      <c r="M1150" s="53"/>
    </row>
    <row r="1151" spans="2:13">
      <c r="B1151" s="53"/>
      <c r="C1151" s="53"/>
      <c r="D1151" s="53"/>
      <c r="E1151" s="53"/>
      <c r="F1151" s="53"/>
      <c r="G1151" s="53"/>
      <c r="H1151" s="53"/>
      <c r="I1151" s="53"/>
      <c r="J1151" s="53"/>
      <c r="K1151" s="53"/>
      <c r="L1151" s="53"/>
      <c r="M1151" s="53"/>
    </row>
    <row r="1152" spans="2:13">
      <c r="B1152" s="53"/>
      <c r="C1152" s="53"/>
      <c r="D1152" s="53"/>
      <c r="E1152" s="53"/>
      <c r="F1152" s="53"/>
      <c r="G1152" s="53"/>
      <c r="H1152" s="53"/>
      <c r="I1152" s="53"/>
      <c r="J1152" s="53"/>
      <c r="K1152" s="53"/>
      <c r="L1152" s="53"/>
      <c r="M1152" s="53"/>
    </row>
    <row r="1153" spans="2:13">
      <c r="B1153" s="53"/>
      <c r="C1153" s="53"/>
      <c r="D1153" s="53"/>
      <c r="E1153" s="53"/>
      <c r="F1153" s="53"/>
      <c r="G1153" s="53"/>
      <c r="H1153" s="53"/>
      <c r="I1153" s="53"/>
      <c r="J1153" s="53"/>
      <c r="K1153" s="53"/>
      <c r="L1153" s="53"/>
      <c r="M1153" s="53"/>
    </row>
    <row r="1154" spans="2:13"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</row>
    <row r="1155" spans="2:13">
      <c r="B1155" s="53"/>
      <c r="C1155" s="53"/>
      <c r="D1155" s="53"/>
      <c r="E1155" s="53"/>
      <c r="F1155" s="53"/>
      <c r="G1155" s="53"/>
      <c r="H1155" s="53"/>
      <c r="I1155" s="53"/>
      <c r="J1155" s="53"/>
      <c r="K1155" s="53"/>
      <c r="L1155" s="53"/>
      <c r="M1155" s="53"/>
    </row>
    <row r="1156" spans="2:13">
      <c r="B1156" s="53"/>
      <c r="C1156" s="53"/>
      <c r="D1156" s="53"/>
      <c r="E1156" s="53"/>
      <c r="F1156" s="53"/>
      <c r="G1156" s="53"/>
      <c r="H1156" s="53"/>
      <c r="I1156" s="53"/>
      <c r="J1156" s="53"/>
      <c r="K1156" s="53"/>
      <c r="L1156" s="53"/>
      <c r="M1156" s="53"/>
    </row>
    <row r="1157" spans="2:13">
      <c r="B1157" s="53"/>
      <c r="C1157" s="53"/>
      <c r="D1157" s="53"/>
      <c r="E1157" s="53"/>
      <c r="F1157" s="53"/>
      <c r="G1157" s="53"/>
      <c r="H1157" s="53"/>
      <c r="I1157" s="53"/>
      <c r="J1157" s="53"/>
      <c r="K1157" s="53"/>
      <c r="L1157" s="53"/>
      <c r="M1157" s="53"/>
    </row>
    <row r="1158" spans="2:13">
      <c r="B1158" s="53"/>
      <c r="C1158" s="53"/>
      <c r="D1158" s="53"/>
      <c r="E1158" s="53"/>
      <c r="F1158" s="53"/>
      <c r="G1158" s="53"/>
      <c r="H1158" s="53"/>
      <c r="I1158" s="53"/>
      <c r="J1158" s="53"/>
      <c r="K1158" s="53"/>
      <c r="L1158" s="53"/>
      <c r="M1158" s="53"/>
    </row>
    <row r="1159" spans="2:13">
      <c r="B1159" s="53"/>
      <c r="C1159" s="53"/>
      <c r="D1159" s="53"/>
      <c r="E1159" s="53"/>
      <c r="F1159" s="53"/>
      <c r="G1159" s="53"/>
      <c r="H1159" s="53"/>
      <c r="I1159" s="53"/>
      <c r="J1159" s="53"/>
      <c r="K1159" s="53"/>
      <c r="L1159" s="53"/>
      <c r="M1159" s="53"/>
    </row>
    <row r="1160" spans="2:13">
      <c r="B1160" s="53"/>
      <c r="C1160" s="53"/>
      <c r="D1160" s="53"/>
      <c r="E1160" s="53"/>
      <c r="F1160" s="53"/>
      <c r="G1160" s="53"/>
      <c r="H1160" s="53"/>
      <c r="I1160" s="53"/>
      <c r="J1160" s="53"/>
      <c r="K1160" s="53"/>
      <c r="L1160" s="53"/>
      <c r="M1160" s="53"/>
    </row>
    <row r="1161" spans="2:13">
      <c r="B1161" s="53"/>
      <c r="C1161" s="53"/>
      <c r="D1161" s="53"/>
      <c r="E1161" s="53"/>
      <c r="F1161" s="53"/>
      <c r="G1161" s="53"/>
      <c r="H1161" s="53"/>
      <c r="I1161" s="53"/>
      <c r="J1161" s="53"/>
      <c r="K1161" s="53"/>
      <c r="L1161" s="53"/>
      <c r="M1161" s="53"/>
    </row>
    <row r="1162" spans="2:13">
      <c r="B1162" s="53"/>
      <c r="C1162" s="53"/>
      <c r="D1162" s="53"/>
      <c r="E1162" s="53"/>
      <c r="F1162" s="53"/>
      <c r="G1162" s="53"/>
      <c r="H1162" s="53"/>
      <c r="I1162" s="53"/>
      <c r="J1162" s="53"/>
      <c r="K1162" s="53"/>
      <c r="L1162" s="53"/>
      <c r="M1162" s="53"/>
    </row>
    <row r="1163" spans="2:13">
      <c r="B1163" s="53"/>
      <c r="C1163" s="53"/>
      <c r="D1163" s="53"/>
      <c r="E1163" s="53"/>
      <c r="F1163" s="53"/>
      <c r="G1163" s="53"/>
      <c r="H1163" s="53"/>
      <c r="I1163" s="53"/>
      <c r="J1163" s="53"/>
      <c r="K1163" s="53"/>
      <c r="L1163" s="53"/>
      <c r="M1163" s="53"/>
    </row>
    <row r="1164" spans="2:13">
      <c r="B1164" s="53"/>
      <c r="C1164" s="53"/>
      <c r="D1164" s="53"/>
      <c r="E1164" s="53"/>
      <c r="F1164" s="53"/>
      <c r="G1164" s="53"/>
      <c r="H1164" s="53"/>
      <c r="I1164" s="53"/>
      <c r="J1164" s="53"/>
      <c r="K1164" s="53"/>
      <c r="L1164" s="53"/>
      <c r="M1164" s="53"/>
    </row>
    <row r="1165" spans="2:13">
      <c r="B1165" s="53"/>
      <c r="C1165" s="53"/>
      <c r="D1165" s="53"/>
      <c r="E1165" s="53"/>
      <c r="F1165" s="53"/>
      <c r="G1165" s="53"/>
      <c r="H1165" s="53"/>
      <c r="I1165" s="53"/>
      <c r="J1165" s="53"/>
      <c r="K1165" s="53"/>
      <c r="L1165" s="53"/>
      <c r="M1165" s="53"/>
    </row>
    <row r="1166" spans="2:13">
      <c r="B1166" s="53"/>
      <c r="C1166" s="53"/>
      <c r="D1166" s="53"/>
      <c r="E1166" s="53"/>
      <c r="F1166" s="53"/>
      <c r="G1166" s="53"/>
      <c r="H1166" s="53"/>
      <c r="I1166" s="53"/>
      <c r="J1166" s="53"/>
      <c r="K1166" s="53"/>
      <c r="L1166" s="53"/>
      <c r="M1166" s="53"/>
    </row>
    <row r="1167" spans="2:13">
      <c r="B1167" s="53"/>
      <c r="C1167" s="53"/>
      <c r="D1167" s="53"/>
      <c r="E1167" s="53"/>
      <c r="F1167" s="53"/>
      <c r="G1167" s="53"/>
      <c r="H1167" s="53"/>
      <c r="I1167" s="53"/>
      <c r="J1167" s="53"/>
      <c r="K1167" s="53"/>
      <c r="L1167" s="53"/>
      <c r="M1167" s="53"/>
    </row>
    <row r="1168" spans="2:13">
      <c r="B1168" s="53"/>
      <c r="C1168" s="53"/>
      <c r="D1168" s="53"/>
      <c r="E1168" s="53"/>
      <c r="F1168" s="53"/>
      <c r="G1168" s="53"/>
      <c r="H1168" s="53"/>
      <c r="I1168" s="53"/>
      <c r="J1168" s="53"/>
      <c r="K1168" s="53"/>
      <c r="L1168" s="53"/>
      <c r="M1168" s="53"/>
    </row>
    <row r="1169" spans="2:13">
      <c r="B1169" s="53"/>
      <c r="C1169" s="53"/>
      <c r="D1169" s="53"/>
      <c r="E1169" s="53"/>
      <c r="F1169" s="53"/>
      <c r="G1169" s="53"/>
      <c r="H1169" s="53"/>
      <c r="I1169" s="53"/>
      <c r="J1169" s="53"/>
      <c r="K1169" s="53"/>
      <c r="L1169" s="53"/>
      <c r="M1169" s="53"/>
    </row>
    <row r="1170" spans="2:13">
      <c r="B1170" s="53"/>
      <c r="C1170" s="53"/>
      <c r="D1170" s="53"/>
      <c r="E1170" s="53"/>
      <c r="F1170" s="53"/>
      <c r="G1170" s="53"/>
      <c r="H1170" s="53"/>
      <c r="I1170" s="53"/>
      <c r="J1170" s="53"/>
      <c r="K1170" s="53"/>
      <c r="L1170" s="53"/>
      <c r="M1170" s="53"/>
    </row>
    <row r="1171" spans="2:13">
      <c r="B1171" s="53"/>
      <c r="C1171" s="53"/>
      <c r="D1171" s="53"/>
      <c r="E1171" s="53"/>
      <c r="F1171" s="53"/>
      <c r="G1171" s="53"/>
      <c r="H1171" s="53"/>
      <c r="I1171" s="53"/>
      <c r="J1171" s="53"/>
      <c r="K1171" s="53"/>
      <c r="L1171" s="53"/>
      <c r="M1171" s="53"/>
    </row>
    <row r="1172" spans="2:13">
      <c r="B1172" s="53"/>
      <c r="C1172" s="53"/>
      <c r="D1172" s="53"/>
      <c r="E1172" s="53"/>
      <c r="F1172" s="53"/>
      <c r="G1172" s="53"/>
      <c r="H1172" s="53"/>
      <c r="I1172" s="53"/>
      <c r="J1172" s="53"/>
      <c r="K1172" s="53"/>
      <c r="L1172" s="53"/>
      <c r="M1172" s="53"/>
    </row>
    <row r="1173" spans="2:13">
      <c r="B1173" s="53"/>
      <c r="C1173" s="53"/>
      <c r="D1173" s="53"/>
      <c r="E1173" s="53"/>
      <c r="F1173" s="53"/>
      <c r="G1173" s="53"/>
      <c r="H1173" s="53"/>
      <c r="I1173" s="53"/>
      <c r="J1173" s="53"/>
      <c r="K1173" s="53"/>
      <c r="L1173" s="53"/>
      <c r="M1173" s="53"/>
    </row>
    <row r="1174" spans="2:13">
      <c r="B1174" s="53"/>
      <c r="C1174" s="53"/>
      <c r="D1174" s="53"/>
      <c r="E1174" s="53"/>
      <c r="F1174" s="53"/>
      <c r="G1174" s="53"/>
      <c r="H1174" s="53"/>
      <c r="I1174" s="53"/>
      <c r="J1174" s="53"/>
      <c r="K1174" s="53"/>
      <c r="L1174" s="53"/>
      <c r="M1174" s="53"/>
    </row>
    <row r="1175" spans="2:13">
      <c r="B1175" s="53"/>
      <c r="C1175" s="53"/>
      <c r="D1175" s="53"/>
      <c r="E1175" s="53"/>
      <c r="F1175" s="53"/>
      <c r="G1175" s="53"/>
      <c r="H1175" s="53"/>
      <c r="I1175" s="53"/>
      <c r="J1175" s="53"/>
      <c r="K1175" s="53"/>
      <c r="L1175" s="53"/>
      <c r="M1175" s="53"/>
    </row>
    <row r="1176" spans="2:13">
      <c r="B1176" s="53"/>
      <c r="C1176" s="53"/>
      <c r="D1176" s="53"/>
      <c r="E1176" s="53"/>
      <c r="F1176" s="53"/>
      <c r="G1176" s="53"/>
      <c r="H1176" s="53"/>
      <c r="I1176" s="53"/>
      <c r="J1176" s="53"/>
      <c r="K1176" s="53"/>
      <c r="L1176" s="53"/>
      <c r="M1176" s="53"/>
    </row>
    <row r="1177" spans="2:13">
      <c r="B1177" s="53"/>
      <c r="C1177" s="53"/>
      <c r="D1177" s="53"/>
      <c r="E1177" s="53"/>
      <c r="F1177" s="53"/>
      <c r="G1177" s="53"/>
      <c r="H1177" s="53"/>
      <c r="I1177" s="53"/>
      <c r="J1177" s="53"/>
      <c r="K1177" s="53"/>
      <c r="L1177" s="53"/>
      <c r="M1177" s="53"/>
    </row>
    <row r="1178" spans="2:13">
      <c r="B1178" s="53"/>
      <c r="C1178" s="53"/>
      <c r="D1178" s="53"/>
      <c r="E1178" s="53"/>
      <c r="F1178" s="53"/>
      <c r="G1178" s="53"/>
      <c r="H1178" s="53"/>
      <c r="I1178" s="53"/>
      <c r="J1178" s="53"/>
      <c r="K1178" s="53"/>
      <c r="L1178" s="53"/>
      <c r="M1178" s="53"/>
    </row>
    <row r="1179" spans="2:13">
      <c r="B1179" s="53"/>
      <c r="C1179" s="53"/>
      <c r="D1179" s="53"/>
      <c r="E1179" s="53"/>
      <c r="F1179" s="53"/>
      <c r="G1179" s="53"/>
      <c r="H1179" s="53"/>
      <c r="I1179" s="53"/>
      <c r="J1179" s="53"/>
      <c r="K1179" s="53"/>
      <c r="L1179" s="53"/>
      <c r="M1179" s="53"/>
    </row>
    <row r="1180" spans="2:13">
      <c r="B1180" s="53"/>
      <c r="C1180" s="53"/>
      <c r="D1180" s="53"/>
      <c r="E1180" s="53"/>
      <c r="F1180" s="53"/>
      <c r="G1180" s="53"/>
      <c r="H1180" s="53"/>
      <c r="I1180" s="53"/>
      <c r="J1180" s="53"/>
      <c r="K1180" s="53"/>
      <c r="L1180" s="53"/>
      <c r="M1180" s="53"/>
    </row>
    <row r="1181" spans="2:13">
      <c r="B1181" s="53"/>
      <c r="C1181" s="53"/>
      <c r="D1181" s="53"/>
      <c r="E1181" s="53"/>
      <c r="F1181" s="53"/>
      <c r="G1181" s="53"/>
      <c r="H1181" s="53"/>
      <c r="I1181" s="53"/>
      <c r="J1181" s="53"/>
      <c r="K1181" s="53"/>
      <c r="L1181" s="53"/>
      <c r="M1181" s="53"/>
    </row>
    <row r="1182" spans="2:13">
      <c r="B1182" s="53"/>
      <c r="C1182" s="53"/>
      <c r="D1182" s="53"/>
      <c r="E1182" s="53"/>
      <c r="F1182" s="53"/>
      <c r="G1182" s="53"/>
      <c r="H1182" s="53"/>
      <c r="I1182" s="53"/>
      <c r="J1182" s="53"/>
      <c r="K1182" s="53"/>
      <c r="L1182" s="53"/>
      <c r="M1182" s="53"/>
    </row>
    <row r="1183" spans="2:13">
      <c r="B1183" s="53"/>
      <c r="C1183" s="53"/>
      <c r="D1183" s="53"/>
      <c r="E1183" s="53"/>
      <c r="F1183" s="53"/>
      <c r="G1183" s="53"/>
      <c r="H1183" s="53"/>
      <c r="I1183" s="53"/>
      <c r="J1183" s="53"/>
      <c r="K1183" s="53"/>
      <c r="L1183" s="53"/>
      <c r="M1183" s="53"/>
    </row>
    <row r="1184" spans="2:13">
      <c r="B1184" s="53"/>
      <c r="C1184" s="53"/>
      <c r="D1184" s="53"/>
      <c r="E1184" s="53"/>
      <c r="F1184" s="53"/>
      <c r="G1184" s="53"/>
      <c r="H1184" s="53"/>
      <c r="I1184" s="53"/>
      <c r="J1184" s="53"/>
      <c r="K1184" s="53"/>
      <c r="L1184" s="53"/>
      <c r="M1184" s="53"/>
    </row>
    <row r="1185" spans="2:13">
      <c r="B1185" s="53"/>
      <c r="C1185" s="53"/>
      <c r="D1185" s="53"/>
      <c r="E1185" s="53"/>
      <c r="F1185" s="53"/>
      <c r="G1185" s="53"/>
      <c r="H1185" s="53"/>
      <c r="I1185" s="53"/>
      <c r="J1185" s="53"/>
      <c r="K1185" s="53"/>
      <c r="L1185" s="53"/>
      <c r="M1185" s="53"/>
    </row>
    <row r="1186" spans="2:13">
      <c r="B1186" s="53"/>
      <c r="C1186" s="53"/>
      <c r="D1186" s="53"/>
      <c r="E1186" s="53"/>
      <c r="F1186" s="53"/>
      <c r="G1186" s="53"/>
      <c r="H1186" s="53"/>
      <c r="I1186" s="53"/>
      <c r="J1186" s="53"/>
      <c r="K1186" s="53"/>
      <c r="L1186" s="53"/>
      <c r="M1186" s="53"/>
    </row>
    <row r="1187" spans="2:13">
      <c r="B1187" s="53"/>
      <c r="C1187" s="53"/>
      <c r="D1187" s="53"/>
      <c r="E1187" s="53"/>
      <c r="F1187" s="53"/>
      <c r="G1187" s="53"/>
      <c r="H1187" s="53"/>
      <c r="I1187" s="53"/>
      <c r="J1187" s="53"/>
      <c r="K1187" s="53"/>
      <c r="L1187" s="53"/>
      <c r="M1187" s="53"/>
    </row>
    <row r="1188" spans="2:13">
      <c r="B1188" s="53"/>
      <c r="C1188" s="53"/>
      <c r="D1188" s="53"/>
      <c r="E1188" s="53"/>
      <c r="F1188" s="53"/>
      <c r="G1188" s="53"/>
      <c r="H1188" s="53"/>
      <c r="I1188" s="53"/>
      <c r="J1188" s="53"/>
      <c r="K1188" s="53"/>
      <c r="L1188" s="53"/>
      <c r="M1188" s="53"/>
    </row>
    <row r="1189" spans="2:13">
      <c r="B1189" s="53"/>
      <c r="C1189" s="53"/>
      <c r="D1189" s="53"/>
      <c r="E1189" s="53"/>
      <c r="F1189" s="53"/>
      <c r="G1189" s="53"/>
      <c r="H1189" s="53"/>
      <c r="I1189" s="53"/>
      <c r="J1189" s="53"/>
      <c r="K1189" s="53"/>
      <c r="L1189" s="53"/>
      <c r="M1189" s="53"/>
    </row>
    <row r="1190" spans="2:13">
      <c r="B1190" s="53"/>
      <c r="C1190" s="53"/>
      <c r="D1190" s="53"/>
      <c r="E1190" s="53"/>
      <c r="F1190" s="53"/>
      <c r="G1190" s="53"/>
      <c r="H1190" s="53"/>
      <c r="I1190" s="53"/>
      <c r="J1190" s="53"/>
      <c r="K1190" s="53"/>
      <c r="L1190" s="53"/>
      <c r="M1190" s="53"/>
    </row>
    <row r="1191" spans="2:13">
      <c r="B1191" s="53"/>
      <c r="C1191" s="53"/>
      <c r="D1191" s="53"/>
      <c r="E1191" s="53"/>
      <c r="F1191" s="53"/>
      <c r="G1191" s="53"/>
      <c r="H1191" s="53"/>
      <c r="I1191" s="53"/>
      <c r="J1191" s="53"/>
      <c r="K1191" s="53"/>
      <c r="L1191" s="53"/>
      <c r="M1191" s="53"/>
    </row>
    <row r="1192" spans="2:13">
      <c r="B1192" s="53"/>
      <c r="C1192" s="53"/>
      <c r="D1192" s="53"/>
      <c r="E1192" s="53"/>
      <c r="F1192" s="53"/>
      <c r="G1192" s="53"/>
      <c r="H1192" s="53"/>
      <c r="I1192" s="53"/>
      <c r="J1192" s="53"/>
      <c r="K1192" s="53"/>
      <c r="L1192" s="53"/>
      <c r="M1192" s="53"/>
    </row>
    <row r="1193" spans="2:13">
      <c r="B1193" s="53"/>
      <c r="C1193" s="53"/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</row>
    <row r="1194" spans="2:13">
      <c r="B1194" s="53"/>
      <c r="C1194" s="53"/>
      <c r="D1194" s="53"/>
      <c r="E1194" s="53"/>
      <c r="F1194" s="53"/>
      <c r="G1194" s="53"/>
      <c r="H1194" s="53"/>
      <c r="I1194" s="53"/>
      <c r="J1194" s="53"/>
      <c r="K1194" s="53"/>
      <c r="L1194" s="53"/>
      <c r="M1194" s="53"/>
    </row>
    <row r="1195" spans="2:13">
      <c r="B1195" s="53"/>
      <c r="C1195" s="53"/>
      <c r="D1195" s="53"/>
      <c r="E1195" s="53"/>
      <c r="F1195" s="53"/>
      <c r="G1195" s="53"/>
      <c r="H1195" s="53"/>
      <c r="I1195" s="53"/>
      <c r="J1195" s="53"/>
      <c r="K1195" s="53"/>
      <c r="L1195" s="53"/>
      <c r="M1195" s="53"/>
    </row>
    <row r="1196" spans="2:13">
      <c r="B1196" s="53"/>
      <c r="C1196" s="53"/>
      <c r="D1196" s="53"/>
      <c r="E1196" s="53"/>
      <c r="F1196" s="53"/>
      <c r="G1196" s="53"/>
      <c r="H1196" s="53"/>
      <c r="I1196" s="53"/>
      <c r="J1196" s="53"/>
      <c r="K1196" s="53"/>
      <c r="L1196" s="53"/>
      <c r="M1196" s="53"/>
    </row>
    <row r="1197" spans="2:13">
      <c r="B1197" s="53"/>
      <c r="C1197" s="53"/>
      <c r="D1197" s="53"/>
      <c r="E1197" s="53"/>
      <c r="F1197" s="53"/>
      <c r="G1197" s="53"/>
      <c r="H1197" s="53"/>
      <c r="I1197" s="53"/>
      <c r="J1197" s="53"/>
      <c r="K1197" s="53"/>
      <c r="L1197" s="53"/>
      <c r="M1197" s="53"/>
    </row>
    <row r="1198" spans="2:13">
      <c r="B1198" s="53"/>
      <c r="C1198" s="53"/>
      <c r="D1198" s="53"/>
      <c r="E1198" s="53"/>
      <c r="F1198" s="53"/>
      <c r="G1198" s="53"/>
      <c r="H1198" s="53"/>
      <c r="I1198" s="53"/>
      <c r="J1198" s="53"/>
      <c r="K1198" s="53"/>
      <c r="L1198" s="53"/>
      <c r="M1198" s="53"/>
    </row>
    <row r="1199" spans="2:13">
      <c r="B1199" s="53"/>
      <c r="C1199" s="53"/>
      <c r="D1199" s="53"/>
      <c r="E1199" s="53"/>
      <c r="F1199" s="53"/>
      <c r="G1199" s="53"/>
      <c r="H1199" s="53"/>
      <c r="I1199" s="53"/>
      <c r="J1199" s="53"/>
      <c r="K1199" s="53"/>
      <c r="L1199" s="53"/>
      <c r="M1199" s="53"/>
    </row>
    <row r="1200" spans="2:13">
      <c r="B1200" s="53"/>
      <c r="C1200" s="53"/>
      <c r="D1200" s="53"/>
      <c r="E1200" s="53"/>
      <c r="F1200" s="53"/>
      <c r="G1200" s="53"/>
      <c r="H1200" s="53"/>
      <c r="I1200" s="53"/>
      <c r="J1200" s="53"/>
      <c r="K1200" s="53"/>
      <c r="L1200" s="53"/>
      <c r="M1200" s="53"/>
    </row>
    <row r="1201" spans="2:13">
      <c r="B1201" s="53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</row>
    <row r="1202" spans="2:13">
      <c r="B1202" s="53"/>
      <c r="C1202" s="53"/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</row>
    <row r="1203" spans="2:13">
      <c r="B1203" s="53"/>
      <c r="C1203" s="53"/>
      <c r="D1203" s="53"/>
      <c r="E1203" s="53"/>
      <c r="F1203" s="53"/>
      <c r="G1203" s="53"/>
      <c r="H1203" s="53"/>
      <c r="I1203" s="53"/>
      <c r="J1203" s="53"/>
      <c r="K1203" s="53"/>
      <c r="L1203" s="53"/>
      <c r="M1203" s="53"/>
    </row>
    <row r="1204" spans="2:13">
      <c r="B1204" s="53"/>
      <c r="C1204" s="53"/>
      <c r="D1204" s="53"/>
      <c r="E1204" s="53"/>
      <c r="F1204" s="53"/>
      <c r="G1204" s="53"/>
      <c r="H1204" s="53"/>
      <c r="I1204" s="53"/>
      <c r="J1204" s="53"/>
      <c r="K1204" s="53"/>
      <c r="L1204" s="53"/>
      <c r="M1204" s="53"/>
    </row>
    <row r="1205" spans="2:13">
      <c r="B1205" s="53"/>
      <c r="C1205" s="53"/>
      <c r="D1205" s="53"/>
      <c r="E1205" s="53"/>
      <c r="F1205" s="53"/>
      <c r="G1205" s="53"/>
      <c r="H1205" s="53"/>
      <c r="I1205" s="53"/>
      <c r="J1205" s="53"/>
      <c r="K1205" s="53"/>
      <c r="L1205" s="53"/>
      <c r="M1205" s="53"/>
    </row>
    <row r="1206" spans="2:13">
      <c r="B1206" s="53"/>
      <c r="C1206" s="53"/>
      <c r="D1206" s="53"/>
      <c r="E1206" s="53"/>
      <c r="F1206" s="53"/>
      <c r="G1206" s="53"/>
      <c r="H1206" s="53"/>
      <c r="I1206" s="53"/>
      <c r="J1206" s="53"/>
      <c r="K1206" s="53"/>
      <c r="L1206" s="53"/>
      <c r="M1206" s="53"/>
    </row>
    <row r="1207" spans="2:13"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</row>
    <row r="1208" spans="2:13">
      <c r="B1208" s="53"/>
      <c r="C1208" s="53"/>
      <c r="D1208" s="53"/>
      <c r="E1208" s="53"/>
      <c r="F1208" s="53"/>
      <c r="G1208" s="53"/>
      <c r="H1208" s="53"/>
      <c r="I1208" s="53"/>
      <c r="J1208" s="53"/>
      <c r="K1208" s="53"/>
      <c r="L1208" s="53"/>
      <c r="M1208" s="53"/>
    </row>
    <row r="1209" spans="2:13">
      <c r="B1209" s="53"/>
      <c r="C1209" s="53"/>
      <c r="D1209" s="53"/>
      <c r="E1209" s="53"/>
      <c r="F1209" s="53"/>
      <c r="G1209" s="53"/>
      <c r="H1209" s="53"/>
      <c r="I1209" s="53"/>
      <c r="J1209" s="53"/>
      <c r="K1209" s="53"/>
      <c r="L1209" s="53"/>
      <c r="M1209" s="53"/>
    </row>
    <row r="1210" spans="2:13">
      <c r="B1210" s="53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</row>
    <row r="1211" spans="2:13">
      <c r="B1211" s="53"/>
      <c r="C1211" s="53"/>
      <c r="D1211" s="53"/>
      <c r="E1211" s="53"/>
      <c r="F1211" s="53"/>
      <c r="G1211" s="53"/>
      <c r="H1211" s="53"/>
      <c r="I1211" s="53"/>
      <c r="J1211" s="53"/>
      <c r="K1211" s="53"/>
      <c r="L1211" s="53"/>
      <c r="M1211" s="53"/>
    </row>
    <row r="1212" spans="2:13"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</row>
    <row r="1213" spans="2:13">
      <c r="B1213" s="53"/>
      <c r="C1213" s="53"/>
      <c r="D1213" s="53"/>
      <c r="E1213" s="53"/>
      <c r="F1213" s="53"/>
      <c r="G1213" s="53"/>
      <c r="H1213" s="53"/>
      <c r="I1213" s="53"/>
      <c r="J1213" s="53"/>
      <c r="K1213" s="53"/>
      <c r="L1213" s="53"/>
      <c r="M1213" s="53"/>
    </row>
    <row r="1214" spans="2:13">
      <c r="B1214" s="53"/>
      <c r="C1214" s="53"/>
      <c r="D1214" s="53"/>
      <c r="E1214" s="53"/>
      <c r="F1214" s="53"/>
      <c r="G1214" s="53"/>
      <c r="H1214" s="53"/>
      <c r="I1214" s="53"/>
      <c r="J1214" s="53"/>
      <c r="K1214" s="53"/>
      <c r="L1214" s="53"/>
      <c r="M1214" s="53"/>
    </row>
    <row r="1215" spans="2:13">
      <c r="B1215" s="53"/>
      <c r="C1215" s="53"/>
      <c r="D1215" s="53"/>
      <c r="E1215" s="53"/>
      <c r="F1215" s="53"/>
      <c r="G1215" s="53"/>
      <c r="H1215" s="53"/>
      <c r="I1215" s="53"/>
      <c r="J1215" s="53"/>
      <c r="K1215" s="53"/>
      <c r="L1215" s="53"/>
      <c r="M1215" s="53"/>
    </row>
    <row r="1216" spans="2:13">
      <c r="B1216" s="53"/>
      <c r="C1216" s="53"/>
      <c r="D1216" s="53"/>
      <c r="E1216" s="53"/>
      <c r="F1216" s="53"/>
      <c r="G1216" s="53"/>
      <c r="H1216" s="53"/>
      <c r="I1216" s="53"/>
      <c r="J1216" s="53"/>
      <c r="K1216" s="53"/>
      <c r="L1216" s="53"/>
      <c r="M1216" s="53"/>
    </row>
    <row r="1217" spans="2:13">
      <c r="B1217" s="53"/>
      <c r="C1217" s="53"/>
      <c r="D1217" s="53"/>
      <c r="E1217" s="53"/>
      <c r="F1217" s="53"/>
      <c r="G1217" s="53"/>
      <c r="H1217" s="53"/>
      <c r="I1217" s="53"/>
      <c r="J1217" s="53"/>
      <c r="K1217" s="53"/>
      <c r="L1217" s="53"/>
      <c r="M1217" s="53"/>
    </row>
    <row r="1218" spans="2:13">
      <c r="B1218" s="53"/>
      <c r="C1218" s="53"/>
      <c r="D1218" s="53"/>
      <c r="E1218" s="53"/>
      <c r="F1218" s="53"/>
      <c r="G1218" s="53"/>
      <c r="H1218" s="53"/>
      <c r="I1218" s="53"/>
      <c r="J1218" s="53"/>
      <c r="K1218" s="53"/>
      <c r="L1218" s="53"/>
      <c r="M1218" s="53"/>
    </row>
    <row r="1219" spans="2:13">
      <c r="B1219" s="53"/>
      <c r="C1219" s="53"/>
      <c r="D1219" s="53"/>
      <c r="E1219" s="53"/>
      <c r="F1219" s="53"/>
      <c r="G1219" s="53"/>
      <c r="H1219" s="53"/>
      <c r="I1219" s="53"/>
      <c r="J1219" s="53"/>
      <c r="K1219" s="53"/>
      <c r="L1219" s="53"/>
      <c r="M1219" s="53"/>
    </row>
    <row r="1220" spans="2:13"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</row>
    <row r="1221" spans="2:13">
      <c r="B1221" s="53"/>
      <c r="C1221" s="53"/>
      <c r="D1221" s="53"/>
      <c r="E1221" s="53"/>
      <c r="F1221" s="53"/>
      <c r="G1221" s="53"/>
      <c r="H1221" s="53"/>
      <c r="I1221" s="53"/>
      <c r="J1221" s="53"/>
      <c r="K1221" s="53"/>
      <c r="L1221" s="53"/>
      <c r="M1221" s="53"/>
    </row>
    <row r="1222" spans="2:13">
      <c r="B1222" s="53"/>
      <c r="C1222" s="53"/>
      <c r="D1222" s="53"/>
      <c r="E1222" s="53"/>
      <c r="F1222" s="53"/>
      <c r="G1222" s="53"/>
      <c r="H1222" s="53"/>
      <c r="I1222" s="53"/>
      <c r="J1222" s="53"/>
      <c r="K1222" s="53"/>
      <c r="L1222" s="53"/>
      <c r="M1222" s="53"/>
    </row>
    <row r="1223" spans="2:13">
      <c r="B1223" s="53"/>
      <c r="C1223" s="53"/>
      <c r="D1223" s="53"/>
      <c r="E1223" s="53"/>
      <c r="F1223" s="53"/>
      <c r="G1223" s="53"/>
      <c r="H1223" s="53"/>
      <c r="I1223" s="53"/>
      <c r="J1223" s="53"/>
      <c r="K1223" s="53"/>
      <c r="L1223" s="53"/>
      <c r="M1223" s="53"/>
    </row>
    <row r="1224" spans="2:13">
      <c r="B1224" s="53"/>
      <c r="C1224" s="53"/>
      <c r="D1224" s="53"/>
      <c r="E1224" s="53"/>
      <c r="F1224" s="53"/>
      <c r="G1224" s="53"/>
      <c r="H1224" s="53"/>
      <c r="I1224" s="53"/>
      <c r="J1224" s="53"/>
      <c r="K1224" s="53"/>
      <c r="L1224" s="53"/>
      <c r="M1224" s="53"/>
    </row>
    <row r="1225" spans="2:13">
      <c r="B1225" s="53"/>
      <c r="C1225" s="53"/>
      <c r="D1225" s="53"/>
      <c r="E1225" s="53"/>
      <c r="F1225" s="53"/>
      <c r="G1225" s="53"/>
      <c r="H1225" s="53"/>
      <c r="I1225" s="53"/>
      <c r="J1225" s="53"/>
      <c r="K1225" s="53"/>
      <c r="L1225" s="53"/>
      <c r="M1225" s="53"/>
    </row>
    <row r="1226" spans="2:13">
      <c r="B1226" s="53"/>
      <c r="C1226" s="53"/>
      <c r="D1226" s="53"/>
      <c r="E1226" s="53"/>
      <c r="F1226" s="53"/>
      <c r="G1226" s="53"/>
      <c r="H1226" s="53"/>
      <c r="I1226" s="53"/>
      <c r="J1226" s="53"/>
      <c r="K1226" s="53"/>
      <c r="L1226" s="53"/>
      <c r="M1226" s="53"/>
    </row>
    <row r="1227" spans="2:13">
      <c r="B1227" s="53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</row>
    <row r="1228" spans="2:13">
      <c r="B1228" s="53"/>
      <c r="C1228" s="53"/>
      <c r="D1228" s="53"/>
      <c r="E1228" s="53"/>
      <c r="F1228" s="53"/>
      <c r="G1228" s="53"/>
      <c r="H1228" s="53"/>
      <c r="I1228" s="53"/>
      <c r="J1228" s="53"/>
      <c r="K1228" s="53"/>
      <c r="L1228" s="53"/>
      <c r="M1228" s="53"/>
    </row>
    <row r="1229" spans="2:13">
      <c r="B1229" s="53"/>
      <c r="C1229" s="53"/>
      <c r="D1229" s="53"/>
      <c r="E1229" s="53"/>
      <c r="F1229" s="53"/>
      <c r="G1229" s="53"/>
      <c r="H1229" s="53"/>
      <c r="I1229" s="53"/>
      <c r="J1229" s="53"/>
      <c r="K1229" s="53"/>
      <c r="L1229" s="53"/>
      <c r="M1229" s="53"/>
    </row>
    <row r="1230" spans="2:13">
      <c r="B1230" s="53"/>
      <c r="C1230" s="53"/>
      <c r="D1230" s="53"/>
      <c r="E1230" s="53"/>
      <c r="F1230" s="53"/>
      <c r="G1230" s="53"/>
      <c r="H1230" s="53"/>
      <c r="I1230" s="53"/>
      <c r="J1230" s="53"/>
      <c r="K1230" s="53"/>
      <c r="L1230" s="53"/>
      <c r="M1230" s="53"/>
    </row>
    <row r="1231" spans="2:13">
      <c r="B1231" s="53"/>
      <c r="C1231" s="53"/>
      <c r="D1231" s="53"/>
      <c r="E1231" s="53"/>
      <c r="F1231" s="53"/>
      <c r="G1231" s="53"/>
      <c r="H1231" s="53"/>
      <c r="I1231" s="53"/>
      <c r="J1231" s="53"/>
      <c r="K1231" s="53"/>
      <c r="L1231" s="53"/>
      <c r="M1231" s="53"/>
    </row>
    <row r="1232" spans="2:13">
      <c r="B1232" s="53"/>
      <c r="C1232" s="53"/>
      <c r="D1232" s="53"/>
      <c r="E1232" s="53"/>
      <c r="F1232" s="53"/>
      <c r="G1232" s="53"/>
      <c r="H1232" s="53"/>
      <c r="I1232" s="53"/>
      <c r="J1232" s="53"/>
      <c r="K1232" s="53"/>
      <c r="L1232" s="53"/>
      <c r="M1232" s="53"/>
    </row>
    <row r="1233" spans="2:13">
      <c r="B1233" s="53"/>
      <c r="C1233" s="53"/>
      <c r="D1233" s="53"/>
      <c r="E1233" s="53"/>
      <c r="F1233" s="53"/>
      <c r="G1233" s="53"/>
      <c r="H1233" s="53"/>
      <c r="I1233" s="53"/>
      <c r="J1233" s="53"/>
      <c r="K1233" s="53"/>
      <c r="L1233" s="53"/>
      <c r="M1233" s="53"/>
    </row>
    <row r="1234" spans="2:13">
      <c r="B1234" s="53"/>
      <c r="C1234" s="53"/>
      <c r="D1234" s="53"/>
      <c r="E1234" s="53"/>
      <c r="F1234" s="53"/>
      <c r="G1234" s="53"/>
      <c r="H1234" s="53"/>
      <c r="I1234" s="53"/>
      <c r="J1234" s="53"/>
      <c r="K1234" s="53"/>
      <c r="L1234" s="53"/>
      <c r="M1234" s="53"/>
    </row>
    <row r="1235" spans="2:13">
      <c r="B1235" s="53"/>
      <c r="C1235" s="53"/>
      <c r="D1235" s="53"/>
      <c r="E1235" s="53"/>
      <c r="F1235" s="53"/>
      <c r="G1235" s="53"/>
      <c r="H1235" s="53"/>
      <c r="I1235" s="53"/>
      <c r="J1235" s="53"/>
      <c r="K1235" s="53"/>
      <c r="L1235" s="53"/>
      <c r="M1235" s="53"/>
    </row>
    <row r="1236" spans="2:13">
      <c r="B1236" s="53"/>
      <c r="C1236" s="53"/>
      <c r="D1236" s="53"/>
      <c r="E1236" s="53"/>
      <c r="F1236" s="53"/>
      <c r="G1236" s="53"/>
      <c r="H1236" s="53"/>
      <c r="I1236" s="53"/>
      <c r="J1236" s="53"/>
      <c r="K1236" s="53"/>
      <c r="L1236" s="53"/>
      <c r="M1236" s="53"/>
    </row>
    <row r="1237" spans="2:13">
      <c r="B1237" s="53"/>
      <c r="C1237" s="53"/>
      <c r="D1237" s="53"/>
      <c r="E1237" s="53"/>
      <c r="F1237" s="53"/>
      <c r="G1237" s="53"/>
      <c r="H1237" s="53"/>
      <c r="I1237" s="53"/>
      <c r="J1237" s="53"/>
      <c r="K1237" s="53"/>
      <c r="L1237" s="53"/>
      <c r="M1237" s="53"/>
    </row>
    <row r="1238" spans="2:13">
      <c r="B1238" s="53"/>
      <c r="C1238" s="53"/>
      <c r="D1238" s="53"/>
      <c r="E1238" s="53"/>
      <c r="F1238" s="53"/>
      <c r="G1238" s="53"/>
      <c r="H1238" s="53"/>
      <c r="I1238" s="53"/>
      <c r="J1238" s="53"/>
      <c r="K1238" s="53"/>
      <c r="L1238" s="53"/>
      <c r="M1238" s="53"/>
    </row>
    <row r="1239" spans="2:13">
      <c r="B1239" s="53"/>
      <c r="C1239" s="53"/>
      <c r="D1239" s="53"/>
      <c r="E1239" s="53"/>
      <c r="F1239" s="53"/>
      <c r="G1239" s="53"/>
      <c r="H1239" s="53"/>
      <c r="I1239" s="53"/>
      <c r="J1239" s="53"/>
      <c r="K1239" s="53"/>
      <c r="L1239" s="53"/>
      <c r="M1239" s="53"/>
    </row>
    <row r="1240" spans="2:13">
      <c r="B1240" s="53"/>
      <c r="C1240" s="53"/>
      <c r="D1240" s="53"/>
      <c r="E1240" s="53"/>
      <c r="F1240" s="53"/>
      <c r="G1240" s="53"/>
      <c r="H1240" s="53"/>
      <c r="I1240" s="53"/>
      <c r="J1240" s="53"/>
      <c r="K1240" s="53"/>
      <c r="L1240" s="53"/>
      <c r="M1240" s="53"/>
    </row>
    <row r="1241" spans="2:13">
      <c r="B1241" s="53"/>
      <c r="C1241" s="53"/>
      <c r="D1241" s="53"/>
      <c r="E1241" s="53"/>
      <c r="F1241" s="53"/>
      <c r="G1241" s="53"/>
      <c r="H1241" s="53"/>
      <c r="I1241" s="53"/>
      <c r="J1241" s="53"/>
      <c r="K1241" s="53"/>
      <c r="L1241" s="53"/>
      <c r="M1241" s="53"/>
    </row>
    <row r="1242" spans="2:13">
      <c r="B1242" s="53"/>
      <c r="C1242" s="53"/>
      <c r="D1242" s="53"/>
      <c r="E1242" s="53"/>
      <c r="F1242" s="53"/>
      <c r="G1242" s="53"/>
      <c r="H1242" s="53"/>
      <c r="I1242" s="53"/>
      <c r="J1242" s="53"/>
      <c r="K1242" s="53"/>
      <c r="L1242" s="53"/>
      <c r="M1242" s="53"/>
    </row>
    <row r="1243" spans="2:13">
      <c r="B1243" s="53"/>
      <c r="C1243" s="53"/>
      <c r="D1243" s="53"/>
      <c r="E1243" s="53"/>
      <c r="F1243" s="53"/>
      <c r="G1243" s="53"/>
      <c r="H1243" s="53"/>
      <c r="I1243" s="53"/>
      <c r="J1243" s="53"/>
      <c r="K1243" s="53"/>
      <c r="L1243" s="53"/>
      <c r="M1243" s="53"/>
    </row>
    <row r="1244" spans="2:13">
      <c r="B1244" s="53"/>
      <c r="C1244" s="53"/>
      <c r="D1244" s="53"/>
      <c r="E1244" s="53"/>
      <c r="F1244" s="53"/>
      <c r="G1244" s="53"/>
      <c r="H1244" s="53"/>
      <c r="I1244" s="53"/>
      <c r="J1244" s="53"/>
      <c r="K1244" s="53"/>
      <c r="L1244" s="53"/>
      <c r="M1244" s="53"/>
    </row>
    <row r="1245" spans="2:13">
      <c r="B1245" s="53"/>
      <c r="C1245" s="53"/>
      <c r="D1245" s="53"/>
      <c r="E1245" s="53"/>
      <c r="F1245" s="53"/>
      <c r="G1245" s="53"/>
      <c r="H1245" s="53"/>
      <c r="I1245" s="53"/>
      <c r="J1245" s="53"/>
      <c r="K1245" s="53"/>
      <c r="L1245" s="53"/>
      <c r="M1245" s="53"/>
    </row>
    <row r="1246" spans="2:13">
      <c r="B1246" s="53"/>
      <c r="C1246" s="53"/>
      <c r="D1246" s="53"/>
      <c r="E1246" s="53"/>
      <c r="F1246" s="53"/>
      <c r="G1246" s="53"/>
      <c r="H1246" s="53"/>
      <c r="I1246" s="53"/>
      <c r="J1246" s="53"/>
      <c r="K1246" s="53"/>
      <c r="L1246" s="53"/>
      <c r="M1246" s="53"/>
    </row>
    <row r="1247" spans="2:13">
      <c r="B1247" s="53"/>
      <c r="C1247" s="53"/>
      <c r="D1247" s="53"/>
      <c r="E1247" s="53"/>
      <c r="F1247" s="53"/>
      <c r="G1247" s="53"/>
      <c r="H1247" s="53"/>
      <c r="I1247" s="53"/>
      <c r="J1247" s="53"/>
      <c r="K1247" s="53"/>
      <c r="L1247" s="53"/>
      <c r="M1247" s="53"/>
    </row>
    <row r="1248" spans="2:13">
      <c r="B1248" s="53"/>
      <c r="C1248" s="53"/>
      <c r="D1248" s="53"/>
      <c r="E1248" s="53"/>
      <c r="F1248" s="53"/>
      <c r="G1248" s="53"/>
      <c r="H1248" s="53"/>
      <c r="I1248" s="53"/>
      <c r="J1248" s="53"/>
      <c r="K1248" s="53"/>
      <c r="L1248" s="53"/>
      <c r="M1248" s="53"/>
    </row>
    <row r="1249" spans="2:13">
      <c r="B1249" s="53"/>
      <c r="C1249" s="53"/>
      <c r="D1249" s="53"/>
      <c r="E1249" s="53"/>
      <c r="F1249" s="53"/>
      <c r="G1249" s="53"/>
      <c r="H1249" s="53"/>
      <c r="I1249" s="53"/>
      <c r="J1249" s="53"/>
      <c r="K1249" s="53"/>
      <c r="L1249" s="53"/>
      <c r="M1249" s="53"/>
    </row>
    <row r="1250" spans="2:13">
      <c r="B1250" s="53"/>
      <c r="C1250" s="53"/>
      <c r="D1250" s="53"/>
      <c r="E1250" s="53"/>
      <c r="F1250" s="53"/>
      <c r="G1250" s="53"/>
      <c r="H1250" s="53"/>
      <c r="I1250" s="53"/>
      <c r="J1250" s="53"/>
      <c r="K1250" s="53"/>
      <c r="L1250" s="53"/>
      <c r="M1250" s="53"/>
    </row>
    <row r="1251" spans="2:13">
      <c r="B1251" s="53"/>
      <c r="C1251" s="53"/>
      <c r="D1251" s="53"/>
      <c r="E1251" s="53"/>
      <c r="F1251" s="53"/>
      <c r="G1251" s="53"/>
      <c r="H1251" s="53"/>
      <c r="I1251" s="53"/>
      <c r="J1251" s="53"/>
      <c r="K1251" s="53"/>
      <c r="L1251" s="53"/>
      <c r="M1251" s="53"/>
    </row>
    <row r="1252" spans="2:13">
      <c r="B1252" s="53"/>
      <c r="C1252" s="53"/>
      <c r="D1252" s="53"/>
      <c r="E1252" s="53"/>
      <c r="F1252" s="53"/>
      <c r="G1252" s="53"/>
      <c r="H1252" s="53"/>
      <c r="I1252" s="53"/>
      <c r="J1252" s="53"/>
      <c r="K1252" s="53"/>
      <c r="L1252" s="53"/>
      <c r="M1252" s="53"/>
    </row>
    <row r="1253" spans="2:13">
      <c r="B1253" s="53"/>
      <c r="C1253" s="53"/>
      <c r="D1253" s="53"/>
      <c r="E1253" s="53"/>
      <c r="F1253" s="53"/>
      <c r="G1253" s="53"/>
      <c r="H1253" s="53"/>
      <c r="I1253" s="53"/>
      <c r="J1253" s="53"/>
      <c r="K1253" s="53"/>
      <c r="L1253" s="53"/>
      <c r="M1253" s="53"/>
    </row>
    <row r="1254" spans="2:13">
      <c r="B1254" s="53"/>
      <c r="C1254" s="53"/>
      <c r="D1254" s="53"/>
      <c r="E1254" s="53"/>
      <c r="F1254" s="53"/>
      <c r="G1254" s="53"/>
      <c r="H1254" s="53"/>
      <c r="I1254" s="53"/>
      <c r="J1254" s="53"/>
      <c r="K1254" s="53"/>
      <c r="L1254" s="53"/>
      <c r="M1254" s="53"/>
    </row>
    <row r="1255" spans="2:13">
      <c r="B1255" s="53"/>
      <c r="C1255" s="53"/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</row>
    <row r="1256" spans="2:13">
      <c r="B1256" s="53"/>
      <c r="C1256" s="53"/>
      <c r="D1256" s="53"/>
      <c r="E1256" s="53"/>
      <c r="F1256" s="53"/>
      <c r="G1256" s="53"/>
      <c r="H1256" s="53"/>
      <c r="I1256" s="53"/>
      <c r="J1256" s="53"/>
      <c r="K1256" s="53"/>
      <c r="L1256" s="53"/>
      <c r="M1256" s="53"/>
    </row>
    <row r="1257" spans="2:13">
      <c r="B1257" s="53"/>
      <c r="C1257" s="53"/>
      <c r="D1257" s="53"/>
      <c r="E1257" s="53"/>
      <c r="F1257" s="53"/>
      <c r="G1257" s="53"/>
      <c r="H1257" s="53"/>
      <c r="I1257" s="53"/>
      <c r="J1257" s="53"/>
      <c r="K1257" s="53"/>
      <c r="L1257" s="53"/>
      <c r="M1257" s="53"/>
    </row>
    <row r="1258" spans="2:13">
      <c r="B1258" s="53"/>
      <c r="C1258" s="53"/>
      <c r="D1258" s="53"/>
      <c r="E1258" s="53"/>
      <c r="F1258" s="53"/>
      <c r="G1258" s="53"/>
      <c r="H1258" s="53"/>
      <c r="I1258" s="53"/>
      <c r="J1258" s="53"/>
      <c r="K1258" s="53"/>
      <c r="L1258" s="53"/>
      <c r="M1258" s="53"/>
    </row>
    <row r="1259" spans="2:13">
      <c r="B1259" s="53"/>
      <c r="C1259" s="53"/>
      <c r="D1259" s="53"/>
      <c r="E1259" s="53"/>
      <c r="F1259" s="53"/>
      <c r="G1259" s="53"/>
      <c r="H1259" s="53"/>
      <c r="I1259" s="53"/>
      <c r="J1259" s="53"/>
      <c r="K1259" s="53"/>
      <c r="L1259" s="53"/>
      <c r="M1259" s="53"/>
    </row>
    <row r="1260" spans="2:13"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</row>
    <row r="1261" spans="2:13">
      <c r="B1261" s="53"/>
      <c r="C1261" s="53"/>
      <c r="D1261" s="53"/>
      <c r="E1261" s="53"/>
      <c r="F1261" s="53"/>
      <c r="G1261" s="53"/>
      <c r="H1261" s="53"/>
      <c r="I1261" s="53"/>
      <c r="J1261" s="53"/>
      <c r="K1261" s="53"/>
      <c r="L1261" s="53"/>
      <c r="M1261" s="53"/>
    </row>
    <row r="1262" spans="2:13">
      <c r="B1262" s="53"/>
      <c r="C1262" s="53"/>
      <c r="D1262" s="53"/>
      <c r="E1262" s="53"/>
      <c r="F1262" s="53"/>
      <c r="G1262" s="53"/>
      <c r="H1262" s="53"/>
      <c r="I1262" s="53"/>
      <c r="J1262" s="53"/>
      <c r="K1262" s="53"/>
      <c r="L1262" s="53"/>
      <c r="M1262" s="53"/>
    </row>
    <row r="1263" spans="2:13">
      <c r="B1263" s="53"/>
      <c r="C1263" s="53"/>
      <c r="D1263" s="53"/>
      <c r="E1263" s="53"/>
      <c r="F1263" s="53"/>
      <c r="G1263" s="53"/>
      <c r="H1263" s="53"/>
      <c r="I1263" s="53"/>
      <c r="J1263" s="53"/>
      <c r="K1263" s="53"/>
      <c r="L1263" s="53"/>
      <c r="M1263" s="53"/>
    </row>
    <row r="1264" spans="2:13">
      <c r="B1264" s="53"/>
      <c r="C1264" s="53"/>
      <c r="D1264" s="53"/>
      <c r="E1264" s="53"/>
      <c r="F1264" s="53"/>
      <c r="G1264" s="53"/>
      <c r="H1264" s="53"/>
      <c r="I1264" s="53"/>
      <c r="J1264" s="53"/>
      <c r="K1264" s="53"/>
      <c r="L1264" s="53"/>
      <c r="M1264" s="53"/>
    </row>
    <row r="1265" spans="2:13">
      <c r="B1265" s="53"/>
      <c r="C1265" s="53"/>
      <c r="D1265" s="53"/>
      <c r="E1265" s="53"/>
      <c r="F1265" s="53"/>
      <c r="G1265" s="53"/>
      <c r="H1265" s="53"/>
      <c r="I1265" s="53"/>
      <c r="J1265" s="53"/>
      <c r="K1265" s="53"/>
      <c r="L1265" s="53"/>
      <c r="M1265" s="53"/>
    </row>
    <row r="1266" spans="2:13">
      <c r="B1266" s="53"/>
      <c r="C1266" s="53"/>
      <c r="D1266" s="53"/>
      <c r="E1266" s="53"/>
      <c r="F1266" s="53"/>
      <c r="G1266" s="53"/>
      <c r="H1266" s="53"/>
      <c r="I1266" s="53"/>
      <c r="J1266" s="53"/>
      <c r="K1266" s="53"/>
      <c r="L1266" s="53"/>
      <c r="M1266" s="53"/>
    </row>
    <row r="1267" spans="2:13">
      <c r="B1267" s="53"/>
      <c r="C1267" s="53"/>
      <c r="D1267" s="53"/>
      <c r="E1267" s="53"/>
      <c r="F1267" s="53"/>
      <c r="G1267" s="53"/>
      <c r="H1267" s="53"/>
      <c r="I1267" s="53"/>
      <c r="J1267" s="53"/>
      <c r="K1267" s="53"/>
      <c r="L1267" s="53"/>
      <c r="M1267" s="53"/>
    </row>
    <row r="1268" spans="2:13">
      <c r="B1268" s="53"/>
      <c r="C1268" s="53"/>
      <c r="D1268" s="53"/>
      <c r="E1268" s="53"/>
      <c r="F1268" s="53"/>
      <c r="G1268" s="53"/>
      <c r="H1268" s="53"/>
      <c r="I1268" s="53"/>
      <c r="J1268" s="53"/>
      <c r="K1268" s="53"/>
      <c r="L1268" s="53"/>
      <c r="M1268" s="53"/>
    </row>
    <row r="1269" spans="2:13">
      <c r="B1269" s="53"/>
      <c r="C1269" s="53"/>
      <c r="D1269" s="53"/>
      <c r="E1269" s="53"/>
      <c r="F1269" s="53"/>
      <c r="G1269" s="53"/>
      <c r="H1269" s="53"/>
      <c r="I1269" s="53"/>
      <c r="J1269" s="53"/>
      <c r="K1269" s="53"/>
      <c r="L1269" s="53"/>
      <c r="M1269" s="53"/>
    </row>
    <row r="1270" spans="2:13">
      <c r="B1270" s="53"/>
      <c r="C1270" s="53"/>
      <c r="D1270" s="53"/>
      <c r="E1270" s="53"/>
      <c r="F1270" s="53"/>
      <c r="G1270" s="53"/>
      <c r="H1270" s="53"/>
      <c r="I1270" s="53"/>
      <c r="J1270" s="53"/>
      <c r="K1270" s="53"/>
      <c r="L1270" s="53"/>
      <c r="M1270" s="53"/>
    </row>
    <row r="1271" spans="2:13">
      <c r="B1271" s="53"/>
      <c r="C1271" s="53"/>
      <c r="D1271" s="53"/>
      <c r="E1271" s="53"/>
      <c r="F1271" s="53"/>
      <c r="G1271" s="53"/>
      <c r="H1271" s="53"/>
      <c r="I1271" s="53"/>
      <c r="J1271" s="53"/>
      <c r="K1271" s="53"/>
      <c r="L1271" s="53"/>
      <c r="M1271" s="53"/>
    </row>
    <row r="1272" spans="2:13">
      <c r="B1272" s="53"/>
      <c r="C1272" s="53"/>
      <c r="D1272" s="53"/>
      <c r="E1272" s="53"/>
      <c r="F1272" s="53"/>
      <c r="G1272" s="53"/>
      <c r="H1272" s="53"/>
      <c r="I1272" s="53"/>
      <c r="J1272" s="53"/>
      <c r="K1272" s="53"/>
      <c r="L1272" s="53"/>
      <c r="M1272" s="53"/>
    </row>
    <row r="1273" spans="2:13">
      <c r="B1273" s="53"/>
      <c r="C1273" s="53"/>
      <c r="D1273" s="53"/>
      <c r="E1273" s="53"/>
      <c r="F1273" s="53"/>
      <c r="G1273" s="53"/>
      <c r="H1273" s="53"/>
      <c r="I1273" s="53"/>
      <c r="J1273" s="53"/>
      <c r="K1273" s="53"/>
      <c r="L1273" s="53"/>
      <c r="M1273" s="53"/>
    </row>
    <row r="1274" spans="2:13">
      <c r="B1274" s="53"/>
      <c r="C1274" s="53"/>
      <c r="D1274" s="53"/>
      <c r="E1274" s="53"/>
      <c r="F1274" s="53"/>
      <c r="G1274" s="53"/>
      <c r="H1274" s="53"/>
      <c r="I1274" s="53"/>
      <c r="J1274" s="53"/>
      <c r="K1274" s="53"/>
      <c r="L1274" s="53"/>
      <c r="M1274" s="53"/>
    </row>
    <row r="1275" spans="2:13">
      <c r="B1275" s="53"/>
      <c r="C1275" s="53"/>
      <c r="D1275" s="53"/>
      <c r="E1275" s="53"/>
      <c r="F1275" s="53"/>
      <c r="G1275" s="53"/>
      <c r="H1275" s="53"/>
      <c r="I1275" s="53"/>
      <c r="J1275" s="53"/>
      <c r="K1275" s="53"/>
      <c r="L1275" s="53"/>
      <c r="M1275" s="53"/>
    </row>
    <row r="1276" spans="2:13">
      <c r="B1276" s="53"/>
      <c r="C1276" s="53"/>
      <c r="D1276" s="53"/>
      <c r="E1276" s="53"/>
      <c r="F1276" s="53"/>
      <c r="G1276" s="53"/>
      <c r="H1276" s="53"/>
      <c r="I1276" s="53"/>
      <c r="J1276" s="53"/>
      <c r="K1276" s="53"/>
      <c r="L1276" s="53"/>
      <c r="M1276" s="53"/>
    </row>
    <row r="1277" spans="2:13">
      <c r="B1277" s="53"/>
      <c r="C1277" s="53"/>
      <c r="D1277" s="53"/>
      <c r="E1277" s="53"/>
      <c r="F1277" s="53"/>
      <c r="G1277" s="53"/>
      <c r="H1277" s="53"/>
      <c r="I1277" s="53"/>
      <c r="J1277" s="53"/>
      <c r="K1277" s="53"/>
      <c r="L1277" s="53"/>
      <c r="M1277" s="53"/>
    </row>
    <row r="1278" spans="2:13">
      <c r="B1278" s="53"/>
      <c r="C1278" s="53"/>
      <c r="D1278" s="53"/>
      <c r="E1278" s="53"/>
      <c r="F1278" s="53"/>
      <c r="G1278" s="53"/>
      <c r="H1278" s="53"/>
      <c r="I1278" s="53"/>
      <c r="J1278" s="53"/>
      <c r="K1278" s="53"/>
      <c r="L1278" s="53"/>
      <c r="M1278" s="53"/>
    </row>
    <row r="1279" spans="2:13">
      <c r="B1279" s="53"/>
      <c r="C1279" s="53"/>
      <c r="D1279" s="53"/>
      <c r="E1279" s="53"/>
      <c r="F1279" s="53"/>
      <c r="G1279" s="53"/>
      <c r="H1279" s="53"/>
      <c r="I1279" s="53"/>
      <c r="J1279" s="53"/>
      <c r="K1279" s="53"/>
      <c r="L1279" s="53"/>
      <c r="M1279" s="53"/>
    </row>
    <row r="1280" spans="2:13">
      <c r="B1280" s="53"/>
      <c r="C1280" s="53"/>
      <c r="D1280" s="53"/>
      <c r="E1280" s="53"/>
      <c r="F1280" s="53"/>
      <c r="G1280" s="53"/>
      <c r="H1280" s="53"/>
      <c r="I1280" s="53"/>
      <c r="J1280" s="53"/>
      <c r="K1280" s="53"/>
      <c r="L1280" s="53"/>
      <c r="M1280" s="53"/>
    </row>
    <row r="1281" spans="2:13">
      <c r="B1281" s="53"/>
      <c r="C1281" s="53"/>
      <c r="D1281" s="53"/>
      <c r="E1281" s="53"/>
      <c r="F1281" s="53"/>
      <c r="G1281" s="53"/>
      <c r="H1281" s="53"/>
      <c r="I1281" s="53"/>
      <c r="J1281" s="53"/>
      <c r="K1281" s="53"/>
      <c r="L1281" s="53"/>
      <c r="M1281" s="53"/>
    </row>
    <row r="1282" spans="2:13">
      <c r="B1282" s="53"/>
      <c r="C1282" s="53"/>
      <c r="D1282" s="53"/>
      <c r="E1282" s="53"/>
      <c r="F1282" s="53"/>
      <c r="G1282" s="53"/>
      <c r="H1282" s="53"/>
      <c r="I1282" s="53"/>
      <c r="J1282" s="53"/>
      <c r="K1282" s="53"/>
      <c r="L1282" s="53"/>
      <c r="M1282" s="53"/>
    </row>
    <row r="1283" spans="2:13">
      <c r="B1283" s="53"/>
      <c r="C1283" s="53"/>
      <c r="D1283" s="53"/>
      <c r="E1283" s="53"/>
      <c r="F1283" s="53"/>
      <c r="G1283" s="53"/>
      <c r="H1283" s="53"/>
      <c r="I1283" s="53"/>
      <c r="J1283" s="53"/>
      <c r="K1283" s="53"/>
      <c r="L1283" s="53"/>
      <c r="M1283" s="53"/>
    </row>
    <row r="1284" spans="2:13">
      <c r="B1284" s="53"/>
      <c r="C1284" s="53"/>
      <c r="D1284" s="53"/>
      <c r="E1284" s="53"/>
      <c r="F1284" s="53"/>
      <c r="G1284" s="53"/>
      <c r="H1284" s="53"/>
      <c r="I1284" s="53"/>
      <c r="J1284" s="53"/>
      <c r="K1284" s="53"/>
      <c r="L1284" s="53"/>
      <c r="M1284" s="53"/>
    </row>
    <row r="1285" spans="2:13">
      <c r="B1285" s="53"/>
      <c r="C1285" s="53"/>
      <c r="D1285" s="53"/>
      <c r="E1285" s="53"/>
      <c r="F1285" s="53"/>
      <c r="G1285" s="53"/>
      <c r="H1285" s="53"/>
      <c r="I1285" s="53"/>
      <c r="J1285" s="53"/>
      <c r="K1285" s="53"/>
      <c r="L1285" s="53"/>
      <c r="M1285" s="53"/>
    </row>
    <row r="1286" spans="2:13">
      <c r="B1286" s="53"/>
      <c r="C1286" s="53"/>
      <c r="D1286" s="53"/>
      <c r="E1286" s="53"/>
      <c r="F1286" s="53"/>
      <c r="G1286" s="53"/>
      <c r="H1286" s="53"/>
      <c r="I1286" s="53"/>
      <c r="J1286" s="53"/>
      <c r="K1286" s="53"/>
      <c r="L1286" s="53"/>
      <c r="M1286" s="53"/>
    </row>
    <row r="1287" spans="2:13">
      <c r="B1287" s="53"/>
      <c r="C1287" s="53"/>
      <c r="D1287" s="53"/>
      <c r="E1287" s="53"/>
      <c r="F1287" s="53"/>
      <c r="G1287" s="53"/>
      <c r="H1287" s="53"/>
      <c r="I1287" s="53"/>
      <c r="J1287" s="53"/>
      <c r="K1287" s="53"/>
      <c r="L1287" s="53"/>
      <c r="M1287" s="53"/>
    </row>
    <row r="1288" spans="2:13">
      <c r="B1288" s="53"/>
      <c r="C1288" s="53"/>
      <c r="D1288" s="53"/>
      <c r="E1288" s="53"/>
      <c r="F1288" s="53"/>
      <c r="G1288" s="53"/>
      <c r="H1288" s="53"/>
      <c r="I1288" s="53"/>
      <c r="J1288" s="53"/>
      <c r="K1288" s="53"/>
      <c r="L1288" s="53"/>
      <c r="M1288" s="53"/>
    </row>
    <row r="1289" spans="2:13">
      <c r="B1289" s="53"/>
      <c r="C1289" s="53"/>
      <c r="D1289" s="53"/>
      <c r="E1289" s="53"/>
      <c r="F1289" s="53"/>
      <c r="G1289" s="53"/>
      <c r="H1289" s="53"/>
      <c r="I1289" s="53"/>
      <c r="J1289" s="53"/>
      <c r="K1289" s="53"/>
      <c r="L1289" s="53"/>
      <c r="M1289" s="53"/>
    </row>
    <row r="1290" spans="2:13">
      <c r="B1290" s="53"/>
      <c r="C1290" s="53"/>
      <c r="D1290" s="53"/>
      <c r="E1290" s="53"/>
      <c r="F1290" s="53"/>
      <c r="G1290" s="53"/>
      <c r="H1290" s="53"/>
      <c r="I1290" s="53"/>
      <c r="J1290" s="53"/>
      <c r="K1290" s="53"/>
      <c r="L1290" s="53"/>
      <c r="M1290" s="53"/>
    </row>
    <row r="1291" spans="2:13">
      <c r="B1291" s="53"/>
      <c r="C1291" s="53"/>
      <c r="D1291" s="53"/>
      <c r="E1291" s="53"/>
      <c r="F1291" s="53"/>
      <c r="G1291" s="53"/>
      <c r="H1291" s="53"/>
      <c r="I1291" s="53"/>
      <c r="J1291" s="53"/>
      <c r="K1291" s="53"/>
      <c r="L1291" s="53"/>
      <c r="M1291" s="53"/>
    </row>
    <row r="1292" spans="2:13">
      <c r="B1292" s="53"/>
      <c r="C1292" s="53"/>
      <c r="D1292" s="53"/>
      <c r="E1292" s="53"/>
      <c r="F1292" s="53"/>
      <c r="G1292" s="53"/>
      <c r="H1292" s="53"/>
      <c r="I1292" s="53"/>
      <c r="J1292" s="53"/>
      <c r="K1292" s="53"/>
      <c r="L1292" s="53"/>
      <c r="M1292" s="53"/>
    </row>
    <row r="1293" spans="2:13">
      <c r="B1293" s="53"/>
      <c r="C1293" s="53"/>
      <c r="D1293" s="53"/>
      <c r="E1293" s="53"/>
      <c r="F1293" s="53"/>
      <c r="G1293" s="53"/>
      <c r="H1293" s="53"/>
      <c r="I1293" s="53"/>
      <c r="J1293" s="53"/>
      <c r="K1293" s="53"/>
      <c r="L1293" s="53"/>
      <c r="M1293" s="53"/>
    </row>
    <row r="1294" spans="2:13">
      <c r="B1294" s="53"/>
      <c r="C1294" s="53"/>
      <c r="D1294" s="53"/>
      <c r="E1294" s="53"/>
      <c r="F1294" s="53"/>
      <c r="G1294" s="53"/>
      <c r="H1294" s="53"/>
      <c r="I1294" s="53"/>
      <c r="J1294" s="53"/>
      <c r="K1294" s="53"/>
      <c r="L1294" s="53"/>
      <c r="M1294" s="53"/>
    </row>
    <row r="1295" spans="2:13">
      <c r="B1295" s="53"/>
      <c r="C1295" s="53"/>
      <c r="D1295" s="53"/>
      <c r="E1295" s="53"/>
      <c r="F1295" s="53"/>
      <c r="G1295" s="53"/>
      <c r="H1295" s="53"/>
      <c r="I1295" s="53"/>
      <c r="J1295" s="53"/>
      <c r="K1295" s="53"/>
      <c r="L1295" s="53"/>
      <c r="M1295" s="53"/>
    </row>
    <row r="1296" spans="2:13">
      <c r="B1296" s="53"/>
      <c r="C1296" s="53"/>
      <c r="D1296" s="53"/>
      <c r="E1296" s="53"/>
      <c r="F1296" s="53"/>
      <c r="G1296" s="53"/>
      <c r="H1296" s="53"/>
      <c r="I1296" s="53"/>
      <c r="J1296" s="53"/>
      <c r="K1296" s="53"/>
      <c r="L1296" s="53"/>
      <c r="M1296" s="53"/>
    </row>
    <row r="1297" spans="2:13">
      <c r="B1297" s="53"/>
      <c r="C1297" s="53"/>
      <c r="D1297" s="53"/>
      <c r="E1297" s="53"/>
      <c r="F1297" s="53"/>
      <c r="G1297" s="53"/>
      <c r="H1297" s="53"/>
      <c r="I1297" s="53"/>
      <c r="J1297" s="53"/>
      <c r="K1297" s="53"/>
      <c r="L1297" s="53"/>
      <c r="M1297" s="53"/>
    </row>
    <row r="1298" spans="2:13">
      <c r="B1298" s="53"/>
      <c r="C1298" s="53"/>
      <c r="D1298" s="53"/>
      <c r="E1298" s="53"/>
      <c r="F1298" s="53"/>
      <c r="G1298" s="53"/>
      <c r="H1298" s="53"/>
      <c r="I1298" s="53"/>
      <c r="J1298" s="53"/>
      <c r="K1298" s="53"/>
      <c r="L1298" s="53"/>
      <c r="M1298" s="53"/>
    </row>
    <row r="1299" spans="2:13">
      <c r="B1299" s="53"/>
      <c r="C1299" s="53"/>
      <c r="D1299" s="53"/>
      <c r="E1299" s="53"/>
      <c r="F1299" s="53"/>
      <c r="G1299" s="53"/>
      <c r="H1299" s="53"/>
      <c r="I1299" s="53"/>
      <c r="J1299" s="53"/>
      <c r="K1299" s="53"/>
      <c r="L1299" s="53"/>
      <c r="M1299" s="53"/>
    </row>
    <row r="1300" spans="2:13">
      <c r="B1300" s="53"/>
      <c r="C1300" s="53"/>
      <c r="D1300" s="53"/>
      <c r="E1300" s="53"/>
      <c r="F1300" s="53"/>
      <c r="G1300" s="53"/>
      <c r="H1300" s="53"/>
      <c r="I1300" s="53"/>
      <c r="J1300" s="53"/>
      <c r="K1300" s="53"/>
      <c r="L1300" s="53"/>
      <c r="M1300" s="53"/>
    </row>
    <row r="1301" spans="2:13">
      <c r="B1301" s="53"/>
      <c r="C1301" s="53"/>
      <c r="D1301" s="53"/>
      <c r="E1301" s="53"/>
      <c r="F1301" s="53"/>
      <c r="G1301" s="53"/>
      <c r="H1301" s="53"/>
      <c r="I1301" s="53"/>
      <c r="J1301" s="53"/>
      <c r="K1301" s="53"/>
      <c r="L1301" s="53"/>
      <c r="M1301" s="53"/>
    </row>
    <row r="1302" spans="2:13">
      <c r="B1302" s="53"/>
      <c r="C1302" s="53"/>
      <c r="D1302" s="53"/>
      <c r="E1302" s="53"/>
      <c r="F1302" s="53"/>
      <c r="G1302" s="53"/>
      <c r="H1302" s="53"/>
      <c r="I1302" s="53"/>
      <c r="J1302" s="53"/>
      <c r="K1302" s="53"/>
      <c r="L1302" s="53"/>
      <c r="M1302" s="53"/>
    </row>
    <row r="1303" spans="2:13">
      <c r="B1303" s="53"/>
      <c r="C1303" s="53"/>
      <c r="D1303" s="53"/>
      <c r="E1303" s="53"/>
      <c r="F1303" s="53"/>
      <c r="G1303" s="53"/>
      <c r="H1303" s="53"/>
      <c r="I1303" s="53"/>
      <c r="J1303" s="53"/>
      <c r="K1303" s="53"/>
      <c r="L1303" s="53"/>
      <c r="M1303" s="53"/>
    </row>
    <row r="1304" spans="2:13">
      <c r="B1304" s="53"/>
      <c r="C1304" s="53"/>
      <c r="D1304" s="53"/>
      <c r="E1304" s="53"/>
      <c r="F1304" s="53"/>
      <c r="G1304" s="53"/>
      <c r="H1304" s="53"/>
      <c r="I1304" s="53"/>
      <c r="J1304" s="53"/>
      <c r="K1304" s="53"/>
      <c r="L1304" s="53"/>
      <c r="M1304" s="53"/>
    </row>
    <row r="1305" spans="2:13">
      <c r="B1305" s="53"/>
      <c r="C1305" s="53"/>
      <c r="D1305" s="53"/>
      <c r="E1305" s="53"/>
      <c r="F1305" s="53"/>
      <c r="G1305" s="53"/>
      <c r="H1305" s="53"/>
      <c r="I1305" s="53"/>
      <c r="J1305" s="53"/>
      <c r="K1305" s="53"/>
      <c r="L1305" s="53"/>
      <c r="M1305" s="53"/>
    </row>
    <row r="1306" spans="2:13">
      <c r="B1306" s="53"/>
      <c r="C1306" s="53"/>
      <c r="D1306" s="53"/>
      <c r="E1306" s="53"/>
      <c r="F1306" s="53"/>
      <c r="G1306" s="53"/>
      <c r="H1306" s="53"/>
      <c r="I1306" s="53"/>
      <c r="J1306" s="53"/>
      <c r="K1306" s="53"/>
      <c r="L1306" s="53"/>
      <c r="M1306" s="53"/>
    </row>
    <row r="1307" spans="2:13">
      <c r="B1307" s="53"/>
      <c r="C1307" s="53"/>
      <c r="D1307" s="53"/>
      <c r="E1307" s="53"/>
      <c r="F1307" s="53"/>
      <c r="G1307" s="53"/>
      <c r="H1307" s="53"/>
      <c r="I1307" s="53"/>
      <c r="J1307" s="53"/>
      <c r="K1307" s="53"/>
      <c r="L1307" s="53"/>
      <c r="M1307" s="53"/>
    </row>
    <row r="1308" spans="2:13">
      <c r="B1308" s="53"/>
      <c r="C1308" s="53"/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</row>
    <row r="1309" spans="2:13">
      <c r="B1309" s="53"/>
      <c r="C1309" s="53"/>
      <c r="D1309" s="53"/>
      <c r="E1309" s="53"/>
      <c r="F1309" s="53"/>
      <c r="G1309" s="53"/>
      <c r="H1309" s="53"/>
      <c r="I1309" s="53"/>
      <c r="J1309" s="53"/>
      <c r="K1309" s="53"/>
      <c r="L1309" s="53"/>
      <c r="M1309" s="53"/>
    </row>
    <row r="1310" spans="2:13">
      <c r="B1310" s="53"/>
      <c r="C1310" s="53"/>
      <c r="D1310" s="53"/>
      <c r="E1310" s="53"/>
      <c r="F1310" s="53"/>
      <c r="G1310" s="53"/>
      <c r="H1310" s="53"/>
      <c r="I1310" s="53"/>
      <c r="J1310" s="53"/>
      <c r="K1310" s="53"/>
      <c r="L1310" s="53"/>
      <c r="M1310" s="53"/>
    </row>
    <row r="1311" spans="2:13">
      <c r="B1311" s="53"/>
      <c r="C1311" s="53"/>
      <c r="D1311" s="53"/>
      <c r="E1311" s="53"/>
      <c r="F1311" s="53"/>
      <c r="G1311" s="53"/>
      <c r="H1311" s="53"/>
      <c r="I1311" s="53"/>
      <c r="J1311" s="53"/>
      <c r="K1311" s="53"/>
      <c r="L1311" s="53"/>
      <c r="M1311" s="53"/>
    </row>
    <row r="1312" spans="2:13">
      <c r="B1312" s="53"/>
      <c r="C1312" s="53"/>
      <c r="D1312" s="53"/>
      <c r="E1312" s="53"/>
      <c r="F1312" s="53"/>
      <c r="G1312" s="53"/>
      <c r="H1312" s="53"/>
      <c r="I1312" s="53"/>
      <c r="J1312" s="53"/>
      <c r="K1312" s="53"/>
      <c r="L1312" s="53"/>
      <c r="M1312" s="53"/>
    </row>
    <row r="1313" spans="2:13"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</row>
    <row r="1314" spans="2:13">
      <c r="B1314" s="53"/>
      <c r="C1314" s="53"/>
      <c r="D1314" s="53"/>
      <c r="E1314" s="53"/>
      <c r="F1314" s="53"/>
      <c r="G1314" s="53"/>
      <c r="H1314" s="53"/>
      <c r="I1314" s="53"/>
      <c r="J1314" s="53"/>
      <c r="K1314" s="53"/>
      <c r="L1314" s="53"/>
      <c r="M1314" s="53"/>
    </row>
    <row r="1315" spans="2:13">
      <c r="B1315" s="53"/>
      <c r="C1315" s="53"/>
      <c r="D1315" s="53"/>
      <c r="E1315" s="53"/>
      <c r="F1315" s="53"/>
      <c r="G1315" s="53"/>
      <c r="H1315" s="53"/>
      <c r="I1315" s="53"/>
      <c r="J1315" s="53"/>
      <c r="K1315" s="53"/>
      <c r="L1315" s="53"/>
      <c r="M1315" s="53"/>
    </row>
    <row r="1316" spans="2:13">
      <c r="B1316" s="53"/>
      <c r="C1316" s="53"/>
      <c r="D1316" s="53"/>
      <c r="E1316" s="53"/>
      <c r="F1316" s="53"/>
      <c r="G1316" s="53"/>
      <c r="H1316" s="53"/>
      <c r="I1316" s="53"/>
      <c r="J1316" s="53"/>
      <c r="K1316" s="53"/>
      <c r="L1316" s="53"/>
      <c r="M1316" s="53"/>
    </row>
    <row r="1317" spans="2:13">
      <c r="B1317" s="53"/>
      <c r="C1317" s="53"/>
      <c r="D1317" s="53"/>
      <c r="E1317" s="53"/>
      <c r="F1317" s="53"/>
      <c r="G1317" s="53"/>
      <c r="H1317" s="53"/>
      <c r="I1317" s="53"/>
      <c r="J1317" s="53"/>
      <c r="K1317" s="53"/>
      <c r="L1317" s="53"/>
      <c r="M1317" s="53"/>
    </row>
    <row r="1318" spans="2:13">
      <c r="B1318" s="53"/>
      <c r="C1318" s="53"/>
      <c r="D1318" s="53"/>
      <c r="E1318" s="53"/>
      <c r="F1318" s="53"/>
      <c r="G1318" s="53"/>
      <c r="H1318" s="53"/>
      <c r="I1318" s="53"/>
      <c r="J1318" s="53"/>
      <c r="K1318" s="53"/>
      <c r="L1318" s="53"/>
      <c r="M1318" s="53"/>
    </row>
    <row r="1319" spans="2:13">
      <c r="B1319" s="53"/>
      <c r="C1319" s="53"/>
      <c r="D1319" s="53"/>
      <c r="E1319" s="53"/>
      <c r="F1319" s="53"/>
      <c r="G1319" s="53"/>
      <c r="H1319" s="53"/>
      <c r="I1319" s="53"/>
      <c r="J1319" s="53"/>
      <c r="K1319" s="53"/>
      <c r="L1319" s="53"/>
      <c r="M1319" s="53"/>
    </row>
    <row r="1320" spans="2:13">
      <c r="B1320" s="53"/>
      <c r="C1320" s="53"/>
      <c r="D1320" s="53"/>
      <c r="E1320" s="53"/>
      <c r="F1320" s="53"/>
      <c r="G1320" s="53"/>
      <c r="H1320" s="53"/>
      <c r="I1320" s="53"/>
      <c r="J1320" s="53"/>
      <c r="K1320" s="53"/>
      <c r="L1320" s="53"/>
      <c r="M1320" s="53"/>
    </row>
    <row r="1321" spans="2:13">
      <c r="B1321" s="53"/>
      <c r="C1321" s="53"/>
      <c r="D1321" s="53"/>
      <c r="E1321" s="53"/>
      <c r="F1321" s="53"/>
      <c r="G1321" s="53"/>
      <c r="H1321" s="53"/>
      <c r="I1321" s="53"/>
      <c r="J1321" s="53"/>
      <c r="K1321" s="53"/>
      <c r="L1321" s="53"/>
      <c r="M1321" s="53"/>
    </row>
    <row r="1322" spans="2:13">
      <c r="B1322" s="53"/>
      <c r="C1322" s="53"/>
      <c r="D1322" s="53"/>
      <c r="E1322" s="53"/>
      <c r="F1322" s="53"/>
      <c r="G1322" s="53"/>
      <c r="H1322" s="53"/>
      <c r="I1322" s="53"/>
      <c r="J1322" s="53"/>
      <c r="K1322" s="53"/>
      <c r="L1322" s="53"/>
      <c r="M1322" s="53"/>
    </row>
    <row r="1323" spans="2:13">
      <c r="B1323" s="53"/>
      <c r="C1323" s="53"/>
      <c r="D1323" s="53"/>
      <c r="E1323" s="53"/>
      <c r="F1323" s="53"/>
      <c r="G1323" s="53"/>
      <c r="H1323" s="53"/>
      <c r="I1323" s="53"/>
      <c r="J1323" s="53"/>
      <c r="K1323" s="53"/>
      <c r="L1323" s="53"/>
      <c r="M1323" s="53"/>
    </row>
    <row r="1324" spans="2:13">
      <c r="B1324" s="53"/>
      <c r="C1324" s="53"/>
      <c r="D1324" s="53"/>
      <c r="E1324" s="53"/>
      <c r="F1324" s="53"/>
      <c r="G1324" s="53"/>
      <c r="H1324" s="53"/>
      <c r="I1324" s="53"/>
      <c r="J1324" s="53"/>
      <c r="K1324" s="53"/>
      <c r="L1324" s="53"/>
      <c r="M1324" s="53"/>
    </row>
    <row r="1325" spans="2:13">
      <c r="B1325" s="53"/>
      <c r="C1325" s="53"/>
      <c r="D1325" s="53"/>
      <c r="E1325" s="53"/>
      <c r="F1325" s="53"/>
      <c r="G1325" s="53"/>
      <c r="H1325" s="53"/>
      <c r="I1325" s="53"/>
      <c r="J1325" s="53"/>
      <c r="K1325" s="53"/>
      <c r="L1325" s="53"/>
      <c r="M1325" s="53"/>
    </row>
    <row r="1326" spans="2:13">
      <c r="B1326" s="53"/>
      <c r="C1326" s="53"/>
      <c r="D1326" s="53"/>
      <c r="E1326" s="53"/>
      <c r="F1326" s="53"/>
      <c r="G1326" s="53"/>
      <c r="H1326" s="53"/>
      <c r="I1326" s="53"/>
      <c r="J1326" s="53"/>
      <c r="K1326" s="53"/>
      <c r="L1326" s="53"/>
      <c r="M1326" s="53"/>
    </row>
    <row r="1327" spans="2:13">
      <c r="B1327" s="53"/>
      <c r="C1327" s="53"/>
      <c r="D1327" s="53"/>
      <c r="E1327" s="53"/>
      <c r="F1327" s="53"/>
      <c r="G1327" s="53"/>
      <c r="H1327" s="53"/>
      <c r="I1327" s="53"/>
      <c r="J1327" s="53"/>
      <c r="K1327" s="53"/>
      <c r="L1327" s="53"/>
      <c r="M1327" s="53"/>
    </row>
    <row r="1328" spans="2:13">
      <c r="B1328" s="53"/>
      <c r="C1328" s="53"/>
      <c r="D1328" s="53"/>
      <c r="E1328" s="53"/>
      <c r="F1328" s="53"/>
      <c r="G1328" s="53"/>
      <c r="H1328" s="53"/>
      <c r="I1328" s="53"/>
      <c r="J1328" s="53"/>
      <c r="K1328" s="53"/>
      <c r="L1328" s="53"/>
      <c r="M1328" s="53"/>
    </row>
    <row r="1329" spans="2:13">
      <c r="B1329" s="53"/>
      <c r="C1329" s="53"/>
      <c r="D1329" s="53"/>
      <c r="E1329" s="53"/>
      <c r="F1329" s="53"/>
      <c r="G1329" s="53"/>
      <c r="H1329" s="53"/>
      <c r="I1329" s="53"/>
      <c r="J1329" s="53"/>
      <c r="K1329" s="53"/>
      <c r="L1329" s="53"/>
      <c r="M1329" s="53"/>
    </row>
    <row r="1330" spans="2:13">
      <c r="B1330" s="53"/>
      <c r="C1330" s="53"/>
      <c r="D1330" s="53"/>
      <c r="E1330" s="53"/>
      <c r="F1330" s="53"/>
      <c r="G1330" s="53"/>
      <c r="H1330" s="53"/>
      <c r="I1330" s="53"/>
      <c r="J1330" s="53"/>
      <c r="K1330" s="53"/>
      <c r="L1330" s="53"/>
      <c r="M1330" s="53"/>
    </row>
    <row r="1331" spans="2:13">
      <c r="B1331" s="53"/>
      <c r="C1331" s="53"/>
      <c r="D1331" s="53"/>
      <c r="E1331" s="53"/>
      <c r="F1331" s="53"/>
      <c r="G1331" s="53"/>
      <c r="H1331" s="53"/>
      <c r="I1331" s="53"/>
      <c r="J1331" s="53"/>
      <c r="K1331" s="53"/>
      <c r="L1331" s="53"/>
      <c r="M1331" s="53"/>
    </row>
    <row r="1332" spans="2:13">
      <c r="B1332" s="53"/>
      <c r="C1332" s="53"/>
      <c r="D1332" s="53"/>
      <c r="E1332" s="53"/>
      <c r="F1332" s="53"/>
      <c r="G1332" s="53"/>
      <c r="H1332" s="53"/>
      <c r="I1332" s="53"/>
      <c r="J1332" s="53"/>
      <c r="K1332" s="53"/>
      <c r="L1332" s="53"/>
      <c r="M1332" s="53"/>
    </row>
    <row r="1333" spans="2:13">
      <c r="B1333" s="53"/>
      <c r="C1333" s="53"/>
      <c r="D1333" s="53"/>
      <c r="E1333" s="53"/>
      <c r="F1333" s="53"/>
      <c r="G1333" s="53"/>
      <c r="H1333" s="53"/>
      <c r="I1333" s="53"/>
      <c r="J1333" s="53"/>
      <c r="K1333" s="53"/>
      <c r="L1333" s="53"/>
      <c r="M1333" s="53"/>
    </row>
    <row r="1334" spans="2:13">
      <c r="B1334" s="53"/>
      <c r="C1334" s="53"/>
      <c r="D1334" s="53"/>
      <c r="E1334" s="53"/>
      <c r="F1334" s="53"/>
      <c r="G1334" s="53"/>
      <c r="H1334" s="53"/>
      <c r="I1334" s="53"/>
      <c r="J1334" s="53"/>
      <c r="K1334" s="53"/>
      <c r="L1334" s="53"/>
      <c r="M1334" s="53"/>
    </row>
    <row r="1335" spans="2:13">
      <c r="B1335" s="53"/>
      <c r="C1335" s="53"/>
      <c r="D1335" s="53"/>
      <c r="E1335" s="53"/>
      <c r="F1335" s="53"/>
      <c r="G1335" s="53"/>
      <c r="H1335" s="53"/>
      <c r="I1335" s="53"/>
      <c r="J1335" s="53"/>
      <c r="K1335" s="53"/>
      <c r="L1335" s="53"/>
      <c r="M1335" s="53"/>
    </row>
    <row r="1336" spans="2:13">
      <c r="B1336" s="53"/>
      <c r="C1336" s="53"/>
      <c r="D1336" s="53"/>
      <c r="E1336" s="53"/>
      <c r="F1336" s="53"/>
      <c r="G1336" s="53"/>
      <c r="H1336" s="53"/>
      <c r="I1336" s="53"/>
      <c r="J1336" s="53"/>
      <c r="K1336" s="53"/>
      <c r="L1336" s="53"/>
      <c r="M1336" s="53"/>
    </row>
    <row r="1337" spans="2:13">
      <c r="B1337" s="53"/>
      <c r="C1337" s="53"/>
      <c r="D1337" s="53"/>
      <c r="E1337" s="53"/>
      <c r="F1337" s="53"/>
      <c r="G1337" s="53"/>
      <c r="H1337" s="53"/>
      <c r="I1337" s="53"/>
      <c r="J1337" s="53"/>
      <c r="K1337" s="53"/>
      <c r="L1337" s="53"/>
      <c r="M1337" s="53"/>
    </row>
    <row r="1338" spans="2:13">
      <c r="B1338" s="53"/>
      <c r="C1338" s="53"/>
      <c r="D1338" s="53"/>
      <c r="E1338" s="53"/>
      <c r="F1338" s="53"/>
      <c r="G1338" s="53"/>
      <c r="H1338" s="53"/>
      <c r="I1338" s="53"/>
      <c r="J1338" s="53"/>
      <c r="K1338" s="53"/>
      <c r="L1338" s="53"/>
      <c r="M1338" s="53"/>
    </row>
    <row r="1339" spans="2:13">
      <c r="B1339" s="53"/>
      <c r="C1339" s="53"/>
      <c r="D1339" s="53"/>
      <c r="E1339" s="53"/>
      <c r="F1339" s="53"/>
      <c r="G1339" s="53"/>
      <c r="H1339" s="53"/>
      <c r="I1339" s="53"/>
      <c r="J1339" s="53"/>
      <c r="K1339" s="53"/>
      <c r="L1339" s="53"/>
      <c r="M1339" s="53"/>
    </row>
    <row r="1340" spans="2:13">
      <c r="B1340" s="53"/>
      <c r="C1340" s="53"/>
      <c r="D1340" s="53"/>
      <c r="E1340" s="53"/>
      <c r="F1340" s="53"/>
      <c r="G1340" s="53"/>
      <c r="H1340" s="53"/>
      <c r="I1340" s="53"/>
      <c r="J1340" s="53"/>
      <c r="K1340" s="53"/>
      <c r="L1340" s="53"/>
      <c r="M1340" s="53"/>
    </row>
    <row r="1341" spans="2:13">
      <c r="B1341" s="53"/>
      <c r="C1341" s="53"/>
      <c r="D1341" s="53"/>
      <c r="E1341" s="53"/>
      <c r="F1341" s="53"/>
      <c r="G1341" s="53"/>
      <c r="H1341" s="53"/>
      <c r="I1341" s="53"/>
      <c r="J1341" s="53"/>
      <c r="K1341" s="53"/>
      <c r="L1341" s="53"/>
      <c r="M1341" s="53"/>
    </row>
    <row r="1342" spans="2:13">
      <c r="B1342" s="53"/>
      <c r="C1342" s="53"/>
      <c r="D1342" s="53"/>
      <c r="E1342" s="53"/>
      <c r="F1342" s="53"/>
      <c r="G1342" s="53"/>
      <c r="H1342" s="53"/>
      <c r="I1342" s="53"/>
      <c r="J1342" s="53"/>
      <c r="K1342" s="53"/>
      <c r="L1342" s="53"/>
      <c r="M1342" s="53"/>
    </row>
    <row r="1343" spans="2:13">
      <c r="B1343" s="53"/>
      <c r="C1343" s="53"/>
      <c r="D1343" s="53"/>
      <c r="E1343" s="53"/>
      <c r="F1343" s="53"/>
      <c r="G1343" s="53"/>
      <c r="H1343" s="53"/>
      <c r="I1343" s="53"/>
      <c r="J1343" s="53"/>
      <c r="K1343" s="53"/>
      <c r="L1343" s="53"/>
      <c r="M1343" s="53"/>
    </row>
    <row r="1344" spans="2:13">
      <c r="B1344" s="53"/>
      <c r="C1344" s="53"/>
      <c r="D1344" s="53"/>
      <c r="E1344" s="53"/>
      <c r="F1344" s="53"/>
      <c r="G1344" s="53"/>
      <c r="H1344" s="53"/>
      <c r="I1344" s="53"/>
      <c r="J1344" s="53"/>
      <c r="K1344" s="53"/>
      <c r="L1344" s="53"/>
      <c r="M1344" s="53"/>
    </row>
    <row r="1345" spans="2:13">
      <c r="B1345" s="53"/>
      <c r="C1345" s="53"/>
      <c r="D1345" s="53"/>
      <c r="E1345" s="53"/>
      <c r="F1345" s="53"/>
      <c r="G1345" s="53"/>
      <c r="H1345" s="53"/>
      <c r="I1345" s="53"/>
      <c r="J1345" s="53"/>
      <c r="K1345" s="53"/>
      <c r="L1345" s="53"/>
      <c r="M1345" s="53"/>
    </row>
    <row r="1346" spans="2:13">
      <c r="B1346" s="53"/>
      <c r="C1346" s="53"/>
      <c r="D1346" s="53"/>
      <c r="E1346" s="53"/>
      <c r="F1346" s="53"/>
      <c r="G1346" s="53"/>
      <c r="H1346" s="53"/>
      <c r="I1346" s="53"/>
      <c r="J1346" s="53"/>
      <c r="K1346" s="53"/>
      <c r="L1346" s="53"/>
      <c r="M1346" s="53"/>
    </row>
    <row r="1347" spans="2:13">
      <c r="B1347" s="53"/>
      <c r="C1347" s="53"/>
      <c r="D1347" s="53"/>
      <c r="E1347" s="53"/>
      <c r="F1347" s="53"/>
      <c r="G1347" s="53"/>
      <c r="H1347" s="53"/>
      <c r="I1347" s="53"/>
      <c r="J1347" s="53"/>
      <c r="K1347" s="53"/>
      <c r="L1347" s="53"/>
      <c r="M1347" s="53"/>
    </row>
    <row r="1348" spans="2:13">
      <c r="B1348" s="53"/>
      <c r="C1348" s="53"/>
      <c r="D1348" s="53"/>
      <c r="E1348" s="53"/>
      <c r="F1348" s="53"/>
      <c r="G1348" s="53"/>
      <c r="H1348" s="53"/>
      <c r="I1348" s="53"/>
      <c r="J1348" s="53"/>
      <c r="K1348" s="53"/>
      <c r="L1348" s="53"/>
      <c r="M1348" s="53"/>
    </row>
    <row r="1349" spans="2:13">
      <c r="B1349" s="53"/>
      <c r="C1349" s="53"/>
      <c r="D1349" s="53"/>
      <c r="E1349" s="53"/>
      <c r="F1349" s="53"/>
      <c r="G1349" s="53"/>
      <c r="H1349" s="53"/>
      <c r="I1349" s="53"/>
      <c r="J1349" s="53"/>
      <c r="K1349" s="53"/>
      <c r="L1349" s="53"/>
      <c r="M1349" s="53"/>
    </row>
    <row r="1350" spans="2:13">
      <c r="B1350" s="53"/>
      <c r="C1350" s="53"/>
      <c r="D1350" s="53"/>
      <c r="E1350" s="53"/>
      <c r="F1350" s="53"/>
      <c r="G1350" s="53"/>
      <c r="H1350" s="53"/>
      <c r="I1350" s="53"/>
      <c r="J1350" s="53"/>
      <c r="K1350" s="53"/>
      <c r="L1350" s="53"/>
      <c r="M1350" s="53"/>
    </row>
    <row r="1351" spans="2:13">
      <c r="B1351" s="53"/>
      <c r="C1351" s="53"/>
      <c r="D1351" s="53"/>
      <c r="E1351" s="53"/>
      <c r="F1351" s="53"/>
      <c r="G1351" s="53"/>
      <c r="H1351" s="53"/>
      <c r="I1351" s="53"/>
      <c r="J1351" s="53"/>
      <c r="K1351" s="53"/>
      <c r="L1351" s="53"/>
      <c r="M1351" s="53"/>
    </row>
    <row r="1352" spans="2:13">
      <c r="B1352" s="53"/>
      <c r="C1352" s="53"/>
      <c r="D1352" s="53"/>
      <c r="E1352" s="53"/>
      <c r="F1352" s="53"/>
      <c r="G1352" s="53"/>
      <c r="H1352" s="53"/>
      <c r="I1352" s="53"/>
      <c r="J1352" s="53"/>
      <c r="K1352" s="53"/>
      <c r="L1352" s="53"/>
      <c r="M1352" s="53"/>
    </row>
    <row r="1353" spans="2:13">
      <c r="B1353" s="53"/>
      <c r="C1353" s="53"/>
      <c r="D1353" s="53"/>
      <c r="E1353" s="53"/>
      <c r="F1353" s="53"/>
      <c r="G1353" s="53"/>
      <c r="H1353" s="53"/>
      <c r="I1353" s="53"/>
      <c r="J1353" s="53"/>
      <c r="K1353" s="53"/>
      <c r="L1353" s="53"/>
      <c r="M1353" s="53"/>
    </row>
    <row r="1354" spans="2:13">
      <c r="B1354" s="53"/>
      <c r="C1354" s="53"/>
      <c r="D1354" s="53"/>
      <c r="E1354" s="53"/>
      <c r="F1354" s="53"/>
      <c r="G1354" s="53"/>
      <c r="H1354" s="53"/>
      <c r="I1354" s="53"/>
      <c r="J1354" s="53"/>
      <c r="K1354" s="53"/>
      <c r="L1354" s="53"/>
      <c r="M1354" s="53"/>
    </row>
    <row r="1355" spans="2:13">
      <c r="B1355" s="53"/>
      <c r="C1355" s="53"/>
      <c r="D1355" s="53"/>
      <c r="E1355" s="53"/>
      <c r="F1355" s="53"/>
      <c r="G1355" s="53"/>
      <c r="H1355" s="53"/>
      <c r="I1355" s="53"/>
      <c r="J1355" s="53"/>
      <c r="K1355" s="53"/>
      <c r="L1355" s="53"/>
      <c r="M1355" s="53"/>
    </row>
    <row r="1356" spans="2:13">
      <c r="B1356" s="53"/>
      <c r="C1356" s="53"/>
      <c r="D1356" s="53"/>
      <c r="E1356" s="53"/>
      <c r="F1356" s="53"/>
      <c r="G1356" s="53"/>
      <c r="H1356" s="53"/>
      <c r="I1356" s="53"/>
      <c r="J1356" s="53"/>
      <c r="K1356" s="53"/>
      <c r="L1356" s="53"/>
      <c r="M1356" s="53"/>
    </row>
    <row r="1357" spans="2:13">
      <c r="B1357" s="53"/>
      <c r="C1357" s="53"/>
      <c r="D1357" s="53"/>
      <c r="E1357" s="53"/>
      <c r="F1357" s="53"/>
      <c r="G1357" s="53"/>
      <c r="H1357" s="53"/>
      <c r="I1357" s="53"/>
      <c r="J1357" s="53"/>
      <c r="K1357" s="53"/>
      <c r="L1357" s="53"/>
      <c r="M1357" s="53"/>
    </row>
    <row r="1358" spans="2:13">
      <c r="B1358" s="53"/>
      <c r="C1358" s="53"/>
      <c r="D1358" s="53"/>
      <c r="E1358" s="53"/>
      <c r="F1358" s="53"/>
      <c r="G1358" s="53"/>
      <c r="H1358" s="53"/>
      <c r="I1358" s="53"/>
      <c r="J1358" s="53"/>
      <c r="K1358" s="53"/>
      <c r="L1358" s="53"/>
      <c r="M1358" s="53"/>
    </row>
    <row r="1359" spans="2:13">
      <c r="B1359" s="53"/>
      <c r="C1359" s="53"/>
      <c r="D1359" s="53"/>
      <c r="E1359" s="53"/>
      <c r="F1359" s="53"/>
      <c r="G1359" s="53"/>
      <c r="H1359" s="53"/>
      <c r="I1359" s="53"/>
      <c r="J1359" s="53"/>
      <c r="K1359" s="53"/>
      <c r="L1359" s="53"/>
      <c r="M1359" s="53"/>
    </row>
    <row r="1360" spans="2:13">
      <c r="B1360" s="53"/>
      <c r="C1360" s="53"/>
      <c r="D1360" s="53"/>
      <c r="E1360" s="53"/>
      <c r="F1360" s="53"/>
      <c r="G1360" s="53"/>
      <c r="H1360" s="53"/>
      <c r="I1360" s="53"/>
      <c r="J1360" s="53"/>
      <c r="K1360" s="53"/>
      <c r="L1360" s="53"/>
      <c r="M1360" s="53"/>
    </row>
    <row r="1361" spans="2:13">
      <c r="B1361" s="53"/>
      <c r="C1361" s="53"/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</row>
    <row r="1362" spans="2:13">
      <c r="B1362" s="53"/>
      <c r="C1362" s="53"/>
      <c r="D1362" s="53"/>
      <c r="E1362" s="53"/>
      <c r="F1362" s="53"/>
      <c r="G1362" s="53"/>
      <c r="H1362" s="53"/>
      <c r="I1362" s="53"/>
      <c r="J1362" s="53"/>
      <c r="K1362" s="53"/>
      <c r="L1362" s="53"/>
      <c r="M1362" s="53"/>
    </row>
    <row r="1363" spans="2:13">
      <c r="B1363" s="53"/>
      <c r="C1363" s="53"/>
      <c r="D1363" s="53"/>
      <c r="E1363" s="53"/>
      <c r="F1363" s="53"/>
      <c r="G1363" s="53"/>
      <c r="H1363" s="53"/>
      <c r="I1363" s="53"/>
      <c r="J1363" s="53"/>
      <c r="K1363" s="53"/>
      <c r="L1363" s="53"/>
      <c r="M1363" s="53"/>
    </row>
    <row r="1364" spans="2:13">
      <c r="B1364" s="53"/>
      <c r="C1364" s="53"/>
      <c r="D1364" s="53"/>
      <c r="E1364" s="53"/>
      <c r="F1364" s="53"/>
      <c r="G1364" s="53"/>
      <c r="H1364" s="53"/>
      <c r="I1364" s="53"/>
      <c r="J1364" s="53"/>
      <c r="K1364" s="53"/>
      <c r="L1364" s="53"/>
      <c r="M1364" s="53"/>
    </row>
    <row r="1365" spans="2:13">
      <c r="B1365" s="53"/>
      <c r="C1365" s="53"/>
      <c r="D1365" s="53"/>
      <c r="E1365" s="53"/>
      <c r="F1365" s="53"/>
      <c r="G1365" s="53"/>
      <c r="H1365" s="53"/>
      <c r="I1365" s="53"/>
      <c r="J1365" s="53"/>
      <c r="K1365" s="53"/>
      <c r="L1365" s="53"/>
      <c r="M1365" s="53"/>
    </row>
    <row r="1366" spans="2:13"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</row>
    <row r="1367" spans="2:13">
      <c r="B1367" s="53"/>
      <c r="C1367" s="53"/>
      <c r="D1367" s="53"/>
      <c r="E1367" s="53"/>
      <c r="F1367" s="53"/>
      <c r="G1367" s="53"/>
      <c r="H1367" s="53"/>
      <c r="I1367" s="53"/>
      <c r="J1367" s="53"/>
      <c r="K1367" s="53"/>
      <c r="L1367" s="53"/>
      <c r="M1367" s="53"/>
    </row>
    <row r="1368" spans="2:13">
      <c r="B1368" s="53"/>
      <c r="C1368" s="53"/>
      <c r="D1368" s="53"/>
      <c r="E1368" s="53"/>
      <c r="F1368" s="53"/>
      <c r="G1368" s="53"/>
      <c r="H1368" s="53"/>
      <c r="I1368" s="53"/>
      <c r="J1368" s="53"/>
      <c r="K1368" s="53"/>
      <c r="L1368" s="53"/>
      <c r="M1368" s="53"/>
    </row>
    <row r="1369" spans="2:13">
      <c r="B1369" s="53"/>
      <c r="C1369" s="53"/>
      <c r="D1369" s="53"/>
      <c r="E1369" s="53"/>
      <c r="F1369" s="53"/>
      <c r="G1369" s="53"/>
      <c r="H1369" s="53"/>
      <c r="I1369" s="53"/>
      <c r="J1369" s="53"/>
      <c r="K1369" s="53"/>
      <c r="L1369" s="53"/>
      <c r="M1369" s="53"/>
    </row>
    <row r="1370" spans="2:13">
      <c r="B1370" s="53"/>
      <c r="C1370" s="53"/>
      <c r="D1370" s="53"/>
      <c r="E1370" s="53"/>
      <c r="F1370" s="53"/>
      <c r="G1370" s="53"/>
      <c r="H1370" s="53"/>
      <c r="I1370" s="53"/>
      <c r="J1370" s="53"/>
      <c r="K1370" s="53"/>
      <c r="L1370" s="53"/>
      <c r="M1370" s="53"/>
    </row>
    <row r="1371" spans="2:13">
      <c r="B1371" s="53"/>
      <c r="C1371" s="53"/>
      <c r="D1371" s="53"/>
      <c r="E1371" s="53"/>
      <c r="F1371" s="53"/>
      <c r="G1371" s="53"/>
      <c r="H1371" s="53"/>
      <c r="I1371" s="53"/>
      <c r="J1371" s="53"/>
      <c r="K1371" s="53"/>
      <c r="L1371" s="53"/>
      <c r="M1371" s="53"/>
    </row>
    <row r="1372" spans="2:13">
      <c r="B1372" s="53"/>
      <c r="C1372" s="53"/>
      <c r="D1372" s="53"/>
      <c r="E1372" s="53"/>
      <c r="F1372" s="53"/>
      <c r="G1372" s="53"/>
      <c r="H1372" s="53"/>
      <c r="I1372" s="53"/>
      <c r="J1372" s="53"/>
      <c r="K1372" s="53"/>
      <c r="L1372" s="53"/>
      <c r="M1372" s="53"/>
    </row>
    <row r="1373" spans="2:13">
      <c r="B1373" s="53"/>
      <c r="C1373" s="53"/>
      <c r="D1373" s="53"/>
      <c r="E1373" s="53"/>
      <c r="F1373" s="53"/>
      <c r="G1373" s="53"/>
      <c r="H1373" s="53"/>
      <c r="I1373" s="53"/>
      <c r="J1373" s="53"/>
      <c r="K1373" s="53"/>
      <c r="L1373" s="53"/>
      <c r="M1373" s="53"/>
    </row>
    <row r="1374" spans="2:13">
      <c r="B1374" s="53"/>
      <c r="C1374" s="53"/>
      <c r="D1374" s="53"/>
      <c r="E1374" s="53"/>
      <c r="F1374" s="53"/>
      <c r="G1374" s="53"/>
      <c r="H1374" s="53"/>
      <c r="I1374" s="53"/>
      <c r="J1374" s="53"/>
      <c r="K1374" s="53"/>
      <c r="L1374" s="53"/>
      <c r="M1374" s="53"/>
    </row>
    <row r="1375" spans="2:13">
      <c r="B1375" s="53"/>
      <c r="C1375" s="53"/>
      <c r="D1375" s="53"/>
      <c r="E1375" s="53"/>
      <c r="F1375" s="53"/>
      <c r="G1375" s="53"/>
      <c r="H1375" s="53"/>
      <c r="I1375" s="53"/>
      <c r="J1375" s="53"/>
      <c r="K1375" s="53"/>
      <c r="L1375" s="53"/>
      <c r="M1375" s="53"/>
    </row>
    <row r="1376" spans="2:13">
      <c r="B1376" s="53"/>
      <c r="C1376" s="53"/>
      <c r="D1376" s="53"/>
      <c r="E1376" s="53"/>
      <c r="F1376" s="53"/>
      <c r="G1376" s="53"/>
      <c r="H1376" s="53"/>
      <c r="I1376" s="53"/>
      <c r="J1376" s="53"/>
      <c r="K1376" s="53"/>
      <c r="L1376" s="53"/>
      <c r="M1376" s="53"/>
    </row>
    <row r="1377" spans="2:13">
      <c r="B1377" s="53"/>
      <c r="C1377" s="53"/>
      <c r="D1377" s="53"/>
      <c r="E1377" s="53"/>
      <c r="F1377" s="53"/>
      <c r="G1377" s="53"/>
      <c r="H1377" s="53"/>
      <c r="I1377" s="53"/>
      <c r="J1377" s="53"/>
      <c r="K1377" s="53"/>
      <c r="L1377" s="53"/>
      <c r="M1377" s="53"/>
    </row>
    <row r="1378" spans="2:13">
      <c r="B1378" s="53"/>
      <c r="C1378" s="53"/>
      <c r="D1378" s="53"/>
      <c r="E1378" s="53"/>
      <c r="F1378" s="53"/>
      <c r="G1378" s="53"/>
      <c r="H1378" s="53"/>
      <c r="I1378" s="53"/>
      <c r="J1378" s="53"/>
      <c r="K1378" s="53"/>
      <c r="L1378" s="53"/>
      <c r="M1378" s="53"/>
    </row>
    <row r="1379" spans="2:13">
      <c r="B1379" s="53"/>
      <c r="C1379" s="53"/>
      <c r="D1379" s="53"/>
      <c r="E1379" s="53"/>
      <c r="F1379" s="53"/>
      <c r="G1379" s="53"/>
      <c r="H1379" s="53"/>
      <c r="I1379" s="53"/>
      <c r="J1379" s="53"/>
      <c r="K1379" s="53"/>
      <c r="L1379" s="53"/>
      <c r="M1379" s="53"/>
    </row>
    <row r="1380" spans="2:13">
      <c r="B1380" s="53"/>
      <c r="C1380" s="53"/>
      <c r="D1380" s="53"/>
      <c r="E1380" s="53"/>
      <c r="F1380" s="53"/>
      <c r="G1380" s="53"/>
      <c r="H1380" s="53"/>
      <c r="I1380" s="53"/>
      <c r="J1380" s="53"/>
      <c r="K1380" s="53"/>
      <c r="L1380" s="53"/>
      <c r="M1380" s="53"/>
    </row>
    <row r="1381" spans="2:13">
      <c r="B1381" s="53"/>
      <c r="C1381" s="53"/>
      <c r="D1381" s="53"/>
      <c r="E1381" s="53"/>
      <c r="F1381" s="53"/>
      <c r="G1381" s="53"/>
      <c r="H1381" s="53"/>
      <c r="I1381" s="53"/>
      <c r="J1381" s="53"/>
      <c r="K1381" s="53"/>
      <c r="L1381" s="53"/>
      <c r="M1381" s="53"/>
    </row>
    <row r="1382" spans="2:13">
      <c r="B1382" s="53"/>
      <c r="C1382" s="53"/>
      <c r="D1382" s="53"/>
      <c r="E1382" s="53"/>
      <c r="F1382" s="53"/>
      <c r="G1382" s="53"/>
      <c r="H1382" s="53"/>
      <c r="I1382" s="53"/>
      <c r="J1382" s="53"/>
      <c r="K1382" s="53"/>
      <c r="L1382" s="53"/>
      <c r="M1382" s="53"/>
    </row>
    <row r="1383" spans="2:13">
      <c r="B1383" s="53"/>
      <c r="C1383" s="53"/>
      <c r="D1383" s="53"/>
      <c r="E1383" s="53"/>
      <c r="F1383" s="53"/>
      <c r="G1383" s="53"/>
      <c r="H1383" s="53"/>
      <c r="I1383" s="53"/>
      <c r="J1383" s="53"/>
      <c r="K1383" s="53"/>
      <c r="L1383" s="53"/>
      <c r="M1383" s="53"/>
    </row>
    <row r="1384" spans="2:13">
      <c r="B1384" s="53"/>
      <c r="C1384" s="53"/>
      <c r="D1384" s="53"/>
      <c r="E1384" s="53"/>
      <c r="F1384" s="53"/>
      <c r="G1384" s="53"/>
      <c r="H1384" s="53"/>
      <c r="I1384" s="53"/>
      <c r="J1384" s="53"/>
      <c r="K1384" s="53"/>
      <c r="L1384" s="53"/>
      <c r="M1384" s="53"/>
    </row>
    <row r="1385" spans="2:13">
      <c r="B1385" s="53"/>
      <c r="C1385" s="53"/>
      <c r="D1385" s="53"/>
      <c r="E1385" s="53"/>
      <c r="F1385" s="53"/>
      <c r="G1385" s="53"/>
      <c r="H1385" s="53"/>
      <c r="I1385" s="53"/>
      <c r="J1385" s="53"/>
      <c r="K1385" s="53"/>
      <c r="L1385" s="53"/>
      <c r="M1385" s="53"/>
    </row>
    <row r="1386" spans="2:13">
      <c r="B1386" s="53"/>
      <c r="C1386" s="53"/>
      <c r="D1386" s="53"/>
      <c r="E1386" s="53"/>
      <c r="F1386" s="53"/>
      <c r="G1386" s="53"/>
      <c r="H1386" s="53"/>
      <c r="I1386" s="53"/>
      <c r="J1386" s="53"/>
      <c r="K1386" s="53"/>
      <c r="L1386" s="53"/>
      <c r="M1386" s="53"/>
    </row>
    <row r="1387" spans="2:13">
      <c r="B1387" s="53"/>
      <c r="C1387" s="53"/>
      <c r="D1387" s="53"/>
      <c r="E1387" s="53"/>
      <c r="F1387" s="53"/>
      <c r="G1387" s="53"/>
      <c r="H1387" s="53"/>
      <c r="I1387" s="53"/>
      <c r="J1387" s="53"/>
      <c r="K1387" s="53"/>
      <c r="L1387" s="53"/>
      <c r="M1387" s="53"/>
    </row>
    <row r="1388" spans="2:13">
      <c r="B1388" s="53"/>
      <c r="C1388" s="53"/>
      <c r="D1388" s="53"/>
      <c r="E1388" s="53"/>
      <c r="F1388" s="53"/>
      <c r="G1388" s="53"/>
      <c r="H1388" s="53"/>
      <c r="I1388" s="53"/>
      <c r="J1388" s="53"/>
      <c r="K1388" s="53"/>
      <c r="L1388" s="53"/>
      <c r="M1388" s="53"/>
    </row>
    <row r="1389" spans="2:13">
      <c r="B1389" s="53"/>
      <c r="C1389" s="53"/>
      <c r="D1389" s="53"/>
      <c r="E1389" s="53"/>
      <c r="F1389" s="53"/>
      <c r="G1389" s="53"/>
      <c r="H1389" s="53"/>
      <c r="I1389" s="53"/>
      <c r="J1389" s="53"/>
      <c r="K1389" s="53"/>
      <c r="L1389" s="53"/>
      <c r="M1389" s="53"/>
    </row>
    <row r="1390" spans="2:13">
      <c r="B1390" s="53"/>
      <c r="C1390" s="53"/>
      <c r="D1390" s="53"/>
      <c r="E1390" s="53"/>
      <c r="F1390" s="53"/>
      <c r="G1390" s="53"/>
      <c r="H1390" s="53"/>
      <c r="I1390" s="53"/>
      <c r="J1390" s="53"/>
      <c r="K1390" s="53"/>
      <c r="L1390" s="53"/>
      <c r="M1390" s="53"/>
    </row>
    <row r="1391" spans="2:13">
      <c r="B1391" s="53"/>
      <c r="C1391" s="53"/>
      <c r="D1391" s="53"/>
      <c r="E1391" s="53"/>
      <c r="F1391" s="53"/>
      <c r="G1391" s="53"/>
      <c r="H1391" s="53"/>
      <c r="I1391" s="53"/>
      <c r="J1391" s="53"/>
      <c r="K1391" s="53"/>
      <c r="L1391" s="53"/>
      <c r="M1391" s="53"/>
    </row>
    <row r="1392" spans="2:13">
      <c r="B1392" s="53"/>
      <c r="C1392" s="53"/>
      <c r="D1392" s="53"/>
      <c r="E1392" s="53"/>
      <c r="F1392" s="53"/>
      <c r="G1392" s="53"/>
      <c r="H1392" s="53"/>
      <c r="I1392" s="53"/>
      <c r="J1392" s="53"/>
      <c r="K1392" s="53"/>
      <c r="L1392" s="53"/>
      <c r="M1392" s="53"/>
    </row>
    <row r="1393" spans="2:13">
      <c r="B1393" s="53"/>
      <c r="C1393" s="53"/>
      <c r="D1393" s="53"/>
      <c r="E1393" s="53"/>
      <c r="F1393" s="53"/>
      <c r="G1393" s="53"/>
      <c r="H1393" s="53"/>
      <c r="I1393" s="53"/>
      <c r="J1393" s="53"/>
      <c r="K1393" s="53"/>
      <c r="L1393" s="53"/>
      <c r="M1393" s="53"/>
    </row>
    <row r="1394" spans="2:13">
      <c r="B1394" s="53"/>
      <c r="C1394" s="53"/>
      <c r="D1394" s="53"/>
      <c r="E1394" s="53"/>
      <c r="F1394" s="53"/>
      <c r="G1394" s="53"/>
      <c r="H1394" s="53"/>
      <c r="I1394" s="53"/>
      <c r="J1394" s="53"/>
      <c r="K1394" s="53"/>
      <c r="L1394" s="53"/>
      <c r="M1394" s="53"/>
    </row>
    <row r="1395" spans="2:13">
      <c r="B1395" s="53"/>
      <c r="C1395" s="53"/>
      <c r="D1395" s="53"/>
      <c r="E1395" s="53"/>
      <c r="F1395" s="53"/>
      <c r="G1395" s="53"/>
      <c r="H1395" s="53"/>
      <c r="I1395" s="53"/>
      <c r="J1395" s="53"/>
      <c r="K1395" s="53"/>
      <c r="L1395" s="53"/>
      <c r="M1395" s="53"/>
    </row>
    <row r="1396" spans="2:13">
      <c r="B1396" s="53"/>
      <c r="C1396" s="53"/>
      <c r="D1396" s="53"/>
      <c r="E1396" s="53"/>
      <c r="F1396" s="53"/>
      <c r="G1396" s="53"/>
      <c r="H1396" s="53"/>
      <c r="I1396" s="53"/>
      <c r="J1396" s="53"/>
      <c r="K1396" s="53"/>
      <c r="L1396" s="53"/>
      <c r="M1396" s="53"/>
    </row>
    <row r="1397" spans="2:13">
      <c r="B1397" s="53"/>
      <c r="C1397" s="53"/>
      <c r="D1397" s="53"/>
      <c r="E1397" s="53"/>
      <c r="F1397" s="53"/>
      <c r="G1397" s="53"/>
      <c r="H1397" s="53"/>
      <c r="I1397" s="53"/>
      <c r="J1397" s="53"/>
      <c r="K1397" s="53"/>
      <c r="L1397" s="53"/>
      <c r="M1397" s="53"/>
    </row>
    <row r="1398" spans="2:13">
      <c r="B1398" s="53"/>
      <c r="C1398" s="53"/>
      <c r="D1398" s="53"/>
      <c r="E1398" s="53"/>
      <c r="F1398" s="53"/>
      <c r="G1398" s="53"/>
      <c r="H1398" s="53"/>
      <c r="I1398" s="53"/>
      <c r="J1398" s="53"/>
      <c r="K1398" s="53"/>
      <c r="L1398" s="53"/>
      <c r="M1398" s="53"/>
    </row>
    <row r="1399" spans="2:13">
      <c r="B1399" s="53"/>
      <c r="C1399" s="53"/>
      <c r="D1399" s="53"/>
      <c r="E1399" s="53"/>
      <c r="F1399" s="53"/>
      <c r="G1399" s="53"/>
      <c r="H1399" s="53"/>
      <c r="I1399" s="53"/>
      <c r="J1399" s="53"/>
      <c r="K1399" s="53"/>
      <c r="L1399" s="53"/>
      <c r="M1399" s="53"/>
    </row>
    <row r="1400" spans="2:13">
      <c r="B1400" s="53"/>
      <c r="C1400" s="53"/>
      <c r="D1400" s="53"/>
      <c r="E1400" s="53"/>
      <c r="F1400" s="53"/>
      <c r="G1400" s="53"/>
      <c r="H1400" s="53"/>
      <c r="I1400" s="53"/>
      <c r="J1400" s="53"/>
      <c r="K1400" s="53"/>
      <c r="L1400" s="53"/>
      <c r="M1400" s="53"/>
    </row>
    <row r="1401" spans="2:13">
      <c r="B1401" s="53"/>
      <c r="C1401" s="53"/>
      <c r="D1401" s="53"/>
      <c r="E1401" s="53"/>
      <c r="F1401" s="53"/>
      <c r="G1401" s="53"/>
      <c r="H1401" s="53"/>
      <c r="I1401" s="53"/>
      <c r="J1401" s="53"/>
      <c r="K1401" s="53"/>
      <c r="L1401" s="53"/>
      <c r="M1401" s="53"/>
    </row>
    <row r="1402" spans="2:13">
      <c r="B1402" s="53"/>
      <c r="C1402" s="53"/>
      <c r="D1402" s="53"/>
      <c r="E1402" s="53"/>
      <c r="F1402" s="53"/>
      <c r="G1402" s="53"/>
      <c r="H1402" s="53"/>
      <c r="I1402" s="53"/>
      <c r="J1402" s="53"/>
      <c r="K1402" s="53"/>
      <c r="L1402" s="53"/>
      <c r="M1402" s="53"/>
    </row>
    <row r="1403" spans="2:13">
      <c r="B1403" s="53"/>
      <c r="C1403" s="53"/>
      <c r="D1403" s="53"/>
      <c r="E1403" s="53"/>
      <c r="F1403" s="53"/>
      <c r="G1403" s="53"/>
      <c r="H1403" s="53"/>
      <c r="I1403" s="53"/>
      <c r="J1403" s="53"/>
      <c r="K1403" s="53"/>
      <c r="L1403" s="53"/>
      <c r="M1403" s="53"/>
    </row>
    <row r="1404" spans="2:13">
      <c r="B1404" s="53"/>
      <c r="C1404" s="53"/>
      <c r="D1404" s="53"/>
      <c r="E1404" s="53"/>
      <c r="F1404" s="53"/>
      <c r="G1404" s="53"/>
      <c r="H1404" s="53"/>
      <c r="I1404" s="53"/>
      <c r="J1404" s="53"/>
      <c r="K1404" s="53"/>
      <c r="L1404" s="53"/>
      <c r="M1404" s="53"/>
    </row>
    <row r="1405" spans="2:13">
      <c r="B1405" s="53"/>
      <c r="C1405" s="53"/>
      <c r="D1405" s="53"/>
      <c r="E1405" s="53"/>
      <c r="F1405" s="53"/>
      <c r="G1405" s="53"/>
      <c r="H1405" s="53"/>
      <c r="I1405" s="53"/>
      <c r="J1405" s="53"/>
      <c r="K1405" s="53"/>
      <c r="L1405" s="53"/>
      <c r="M1405" s="53"/>
    </row>
    <row r="1406" spans="2:13">
      <c r="B1406" s="53"/>
      <c r="C1406" s="53"/>
      <c r="D1406" s="53"/>
      <c r="E1406" s="53"/>
      <c r="F1406" s="53"/>
      <c r="G1406" s="53"/>
      <c r="H1406" s="53"/>
      <c r="I1406" s="53"/>
      <c r="J1406" s="53"/>
      <c r="K1406" s="53"/>
      <c r="L1406" s="53"/>
      <c r="M1406" s="53"/>
    </row>
    <row r="1407" spans="2:13">
      <c r="B1407" s="53"/>
      <c r="C1407" s="53"/>
      <c r="D1407" s="53"/>
      <c r="E1407" s="53"/>
      <c r="F1407" s="53"/>
      <c r="G1407" s="53"/>
      <c r="H1407" s="53"/>
      <c r="I1407" s="53"/>
      <c r="J1407" s="53"/>
      <c r="K1407" s="53"/>
      <c r="L1407" s="53"/>
      <c r="M1407" s="53"/>
    </row>
    <row r="1408" spans="2:13">
      <c r="B1408" s="53"/>
      <c r="C1408" s="53"/>
      <c r="D1408" s="53"/>
      <c r="E1408" s="53"/>
      <c r="F1408" s="53"/>
      <c r="G1408" s="53"/>
      <c r="H1408" s="53"/>
      <c r="I1408" s="53"/>
      <c r="J1408" s="53"/>
      <c r="K1408" s="53"/>
      <c r="L1408" s="53"/>
      <c r="M1408" s="53"/>
    </row>
    <row r="1409" spans="2:13">
      <c r="B1409" s="53"/>
      <c r="C1409" s="53"/>
      <c r="D1409" s="53"/>
      <c r="E1409" s="53"/>
      <c r="F1409" s="53"/>
      <c r="G1409" s="53"/>
      <c r="H1409" s="53"/>
      <c r="I1409" s="53"/>
      <c r="J1409" s="53"/>
      <c r="K1409" s="53"/>
      <c r="L1409" s="53"/>
      <c r="M1409" s="53"/>
    </row>
    <row r="1410" spans="2:13">
      <c r="B1410" s="53"/>
      <c r="C1410" s="53"/>
      <c r="D1410" s="53"/>
      <c r="E1410" s="53"/>
      <c r="F1410" s="53"/>
      <c r="G1410" s="53"/>
      <c r="H1410" s="53"/>
      <c r="I1410" s="53"/>
      <c r="J1410" s="53"/>
      <c r="K1410" s="53"/>
      <c r="L1410" s="53"/>
      <c r="M1410" s="53"/>
    </row>
    <row r="1411" spans="2:13">
      <c r="B1411" s="53"/>
      <c r="C1411" s="53"/>
      <c r="D1411" s="53"/>
      <c r="E1411" s="53"/>
      <c r="F1411" s="53"/>
      <c r="G1411" s="53"/>
      <c r="H1411" s="53"/>
      <c r="I1411" s="53"/>
      <c r="J1411" s="53"/>
      <c r="K1411" s="53"/>
      <c r="L1411" s="53"/>
      <c r="M1411" s="53"/>
    </row>
    <row r="1412" spans="2:13">
      <c r="B1412" s="53"/>
      <c r="C1412" s="53"/>
      <c r="D1412" s="53"/>
      <c r="E1412" s="53"/>
      <c r="F1412" s="53"/>
      <c r="G1412" s="53"/>
      <c r="H1412" s="53"/>
      <c r="I1412" s="53"/>
      <c r="J1412" s="53"/>
      <c r="K1412" s="53"/>
      <c r="L1412" s="53"/>
      <c r="M1412" s="53"/>
    </row>
    <row r="1413" spans="2:13">
      <c r="B1413" s="53"/>
      <c r="C1413" s="53"/>
      <c r="D1413" s="53"/>
      <c r="E1413" s="53"/>
      <c r="F1413" s="53"/>
      <c r="G1413" s="53"/>
      <c r="H1413" s="53"/>
      <c r="I1413" s="53"/>
      <c r="J1413" s="53"/>
      <c r="K1413" s="53"/>
      <c r="L1413" s="53"/>
      <c r="M1413" s="53"/>
    </row>
    <row r="1414" spans="2:13">
      <c r="B1414" s="53"/>
      <c r="C1414" s="53"/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</row>
    <row r="1415" spans="2:13">
      <c r="B1415" s="53"/>
      <c r="C1415" s="53"/>
      <c r="D1415" s="53"/>
      <c r="E1415" s="53"/>
      <c r="F1415" s="53"/>
      <c r="G1415" s="53"/>
      <c r="H1415" s="53"/>
      <c r="I1415" s="53"/>
      <c r="J1415" s="53"/>
      <c r="K1415" s="53"/>
      <c r="L1415" s="53"/>
      <c r="M1415" s="53"/>
    </row>
    <row r="1416" spans="2:13">
      <c r="B1416" s="53"/>
      <c r="C1416" s="53"/>
      <c r="D1416" s="53"/>
      <c r="E1416" s="53"/>
      <c r="F1416" s="53"/>
      <c r="G1416" s="53"/>
      <c r="H1416" s="53"/>
      <c r="I1416" s="53"/>
      <c r="J1416" s="53"/>
      <c r="K1416" s="53"/>
      <c r="L1416" s="53"/>
      <c r="M1416" s="53"/>
    </row>
    <row r="1417" spans="2:13">
      <c r="B1417" s="53"/>
      <c r="C1417" s="53"/>
      <c r="D1417" s="53"/>
      <c r="E1417" s="53"/>
      <c r="F1417" s="53"/>
      <c r="G1417" s="53"/>
      <c r="H1417" s="53"/>
      <c r="I1417" s="53"/>
      <c r="J1417" s="53"/>
      <c r="K1417" s="53"/>
      <c r="L1417" s="53"/>
      <c r="M1417" s="53"/>
    </row>
    <row r="1418" spans="2:13">
      <c r="B1418" s="53"/>
      <c r="C1418" s="53"/>
      <c r="D1418" s="53"/>
      <c r="E1418" s="53"/>
      <c r="F1418" s="53"/>
      <c r="G1418" s="53"/>
      <c r="H1418" s="53"/>
      <c r="I1418" s="53"/>
      <c r="J1418" s="53"/>
      <c r="K1418" s="53"/>
      <c r="L1418" s="53"/>
      <c r="M1418" s="53"/>
    </row>
    <row r="1419" spans="2:13"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</row>
    <row r="1420" spans="2:13">
      <c r="B1420" s="53"/>
      <c r="C1420" s="53"/>
      <c r="D1420" s="53"/>
      <c r="E1420" s="53"/>
      <c r="F1420" s="53"/>
      <c r="G1420" s="53"/>
      <c r="H1420" s="53"/>
      <c r="I1420" s="53"/>
      <c r="J1420" s="53"/>
      <c r="K1420" s="53"/>
      <c r="L1420" s="53"/>
      <c r="M1420" s="53"/>
    </row>
    <row r="1421" spans="2:13">
      <c r="B1421" s="53"/>
      <c r="C1421" s="53"/>
      <c r="D1421" s="53"/>
      <c r="E1421" s="53"/>
      <c r="F1421" s="53"/>
      <c r="G1421" s="53"/>
      <c r="H1421" s="53"/>
      <c r="I1421" s="53"/>
      <c r="J1421" s="53"/>
      <c r="K1421" s="53"/>
      <c r="L1421" s="53"/>
      <c r="M1421" s="53"/>
    </row>
    <row r="1422" spans="2:13">
      <c r="B1422" s="53"/>
      <c r="C1422" s="53"/>
      <c r="D1422" s="53"/>
      <c r="E1422" s="53"/>
      <c r="F1422" s="53"/>
      <c r="G1422" s="53"/>
      <c r="H1422" s="53"/>
      <c r="I1422" s="53"/>
      <c r="J1422" s="53"/>
      <c r="K1422" s="53"/>
      <c r="L1422" s="53"/>
      <c r="M1422" s="53"/>
    </row>
    <row r="1423" spans="2:13">
      <c r="B1423" s="53"/>
      <c r="C1423" s="53"/>
      <c r="D1423" s="53"/>
      <c r="E1423" s="53"/>
      <c r="F1423" s="53"/>
      <c r="G1423" s="53"/>
      <c r="H1423" s="53"/>
      <c r="I1423" s="53"/>
      <c r="J1423" s="53"/>
      <c r="K1423" s="53"/>
      <c r="L1423" s="53"/>
      <c r="M1423" s="53"/>
    </row>
    <row r="1424" spans="2:13">
      <c r="B1424" s="53"/>
      <c r="C1424" s="53"/>
      <c r="D1424" s="53"/>
      <c r="E1424" s="53"/>
      <c r="F1424" s="53"/>
      <c r="G1424" s="53"/>
      <c r="H1424" s="53"/>
      <c r="I1424" s="53"/>
      <c r="J1424" s="53"/>
      <c r="K1424" s="53"/>
      <c r="L1424" s="53"/>
      <c r="M1424" s="53"/>
    </row>
    <row r="1425" spans="2:13">
      <c r="B1425" s="53"/>
      <c r="C1425" s="53"/>
      <c r="D1425" s="53"/>
      <c r="E1425" s="53"/>
      <c r="F1425" s="53"/>
      <c r="G1425" s="53"/>
      <c r="H1425" s="53"/>
      <c r="I1425" s="53"/>
      <c r="J1425" s="53"/>
      <c r="K1425" s="53"/>
      <c r="L1425" s="53"/>
      <c r="M1425" s="53"/>
    </row>
    <row r="1426" spans="2:13">
      <c r="B1426" s="53"/>
      <c r="C1426" s="53"/>
      <c r="D1426" s="53"/>
      <c r="E1426" s="53"/>
      <c r="F1426" s="53"/>
      <c r="G1426" s="53"/>
      <c r="H1426" s="53"/>
      <c r="I1426" s="53"/>
      <c r="J1426" s="53"/>
      <c r="K1426" s="53"/>
      <c r="L1426" s="53"/>
      <c r="M1426" s="53"/>
    </row>
    <row r="1427" spans="2:13">
      <c r="B1427" s="53"/>
      <c r="C1427" s="53"/>
      <c r="D1427" s="53"/>
      <c r="E1427" s="53"/>
      <c r="F1427" s="53"/>
      <c r="G1427" s="53"/>
      <c r="H1427" s="53"/>
      <c r="I1427" s="53"/>
      <c r="J1427" s="53"/>
      <c r="K1427" s="53"/>
      <c r="L1427" s="53"/>
      <c r="M1427" s="53"/>
    </row>
    <row r="1428" spans="2:13">
      <c r="B1428" s="53"/>
      <c r="C1428" s="53"/>
      <c r="D1428" s="53"/>
      <c r="E1428" s="53"/>
      <c r="F1428" s="53"/>
      <c r="G1428" s="53"/>
      <c r="H1428" s="53"/>
      <c r="I1428" s="53"/>
      <c r="J1428" s="53"/>
      <c r="K1428" s="53"/>
      <c r="L1428" s="53"/>
      <c r="M1428" s="53"/>
    </row>
    <row r="1429" spans="2:13">
      <c r="B1429" s="53"/>
      <c r="C1429" s="53"/>
      <c r="D1429" s="53"/>
      <c r="E1429" s="53"/>
      <c r="F1429" s="53"/>
      <c r="G1429" s="53"/>
      <c r="H1429" s="53"/>
      <c r="I1429" s="53"/>
      <c r="J1429" s="53"/>
      <c r="K1429" s="53"/>
      <c r="L1429" s="53"/>
      <c r="M1429" s="53"/>
    </row>
    <row r="1430" spans="2:13">
      <c r="B1430" s="53"/>
      <c r="C1430" s="53"/>
      <c r="D1430" s="53"/>
      <c r="E1430" s="53"/>
      <c r="F1430" s="53"/>
      <c r="G1430" s="53"/>
      <c r="H1430" s="53"/>
      <c r="I1430" s="53"/>
      <c r="J1430" s="53"/>
      <c r="K1430" s="53"/>
      <c r="L1430" s="53"/>
      <c r="M1430" s="53"/>
    </row>
    <row r="1431" spans="2:13">
      <c r="B1431" s="53"/>
      <c r="C1431" s="53"/>
      <c r="D1431" s="53"/>
      <c r="E1431" s="53"/>
      <c r="F1431" s="53"/>
      <c r="G1431" s="53"/>
      <c r="H1431" s="53"/>
      <c r="I1431" s="53"/>
      <c r="J1431" s="53"/>
      <c r="K1431" s="53"/>
      <c r="L1431" s="53"/>
      <c r="M1431" s="53"/>
    </row>
    <row r="1432" spans="2:13">
      <c r="B1432" s="53"/>
      <c r="C1432" s="53"/>
      <c r="D1432" s="53"/>
      <c r="E1432" s="53"/>
      <c r="F1432" s="53"/>
      <c r="G1432" s="53"/>
      <c r="H1432" s="53"/>
      <c r="I1432" s="53"/>
      <c r="J1432" s="53"/>
      <c r="K1432" s="53"/>
      <c r="L1432" s="53"/>
      <c r="M1432" s="53"/>
    </row>
    <row r="1433" spans="2:13">
      <c r="B1433" s="53"/>
      <c r="C1433" s="53"/>
      <c r="D1433" s="53"/>
      <c r="E1433" s="53"/>
      <c r="F1433" s="53"/>
      <c r="G1433" s="53"/>
      <c r="H1433" s="53"/>
      <c r="I1433" s="53"/>
      <c r="J1433" s="53"/>
      <c r="K1433" s="53"/>
      <c r="L1433" s="53"/>
      <c r="M1433" s="53"/>
    </row>
    <row r="1434" spans="2:13">
      <c r="B1434" s="53"/>
      <c r="C1434" s="53"/>
      <c r="D1434" s="53"/>
      <c r="E1434" s="53"/>
      <c r="F1434" s="53"/>
      <c r="G1434" s="53"/>
      <c r="H1434" s="53"/>
      <c r="I1434" s="53"/>
      <c r="J1434" s="53"/>
      <c r="K1434" s="53"/>
      <c r="L1434" s="53"/>
      <c r="M1434" s="53"/>
    </row>
    <row r="1435" spans="2:13">
      <c r="B1435" s="53"/>
      <c r="C1435" s="53"/>
      <c r="D1435" s="53"/>
      <c r="E1435" s="53"/>
      <c r="F1435" s="53"/>
      <c r="G1435" s="53"/>
      <c r="H1435" s="53"/>
      <c r="I1435" s="53"/>
      <c r="J1435" s="53"/>
      <c r="K1435" s="53"/>
      <c r="L1435" s="53"/>
      <c r="M1435" s="53"/>
    </row>
    <row r="1436" spans="2:13">
      <c r="B1436" s="53"/>
      <c r="C1436" s="53"/>
      <c r="D1436" s="53"/>
      <c r="E1436" s="53"/>
      <c r="F1436" s="53"/>
      <c r="G1436" s="53"/>
      <c r="H1436" s="53"/>
      <c r="I1436" s="53"/>
      <c r="J1436" s="53"/>
      <c r="K1436" s="53"/>
      <c r="L1436" s="53"/>
      <c r="M1436" s="53"/>
    </row>
    <row r="1437" spans="2:13">
      <c r="B1437" s="53"/>
      <c r="C1437" s="53"/>
      <c r="D1437" s="53"/>
      <c r="E1437" s="53"/>
      <c r="F1437" s="53"/>
      <c r="G1437" s="53"/>
      <c r="H1437" s="53"/>
      <c r="I1437" s="53"/>
      <c r="J1437" s="53"/>
      <c r="K1437" s="53"/>
      <c r="L1437" s="53"/>
      <c r="M1437" s="53"/>
    </row>
    <row r="1438" spans="2:13">
      <c r="B1438" s="53"/>
      <c r="C1438" s="53"/>
      <c r="D1438" s="53"/>
      <c r="E1438" s="53"/>
      <c r="F1438" s="53"/>
      <c r="G1438" s="53"/>
      <c r="H1438" s="53"/>
      <c r="I1438" s="53"/>
      <c r="J1438" s="53"/>
      <c r="K1438" s="53"/>
      <c r="L1438" s="53"/>
      <c r="M1438" s="53"/>
    </row>
    <row r="1439" spans="2:13">
      <c r="B1439" s="53"/>
      <c r="C1439" s="53"/>
      <c r="D1439" s="53"/>
      <c r="E1439" s="53"/>
      <c r="F1439" s="53"/>
      <c r="G1439" s="53"/>
      <c r="H1439" s="53"/>
      <c r="I1439" s="53"/>
      <c r="J1439" s="53"/>
      <c r="K1439" s="53"/>
      <c r="L1439" s="53"/>
      <c r="M1439" s="53"/>
    </row>
    <row r="1440" spans="2:13">
      <c r="B1440" s="53"/>
      <c r="C1440" s="53"/>
      <c r="D1440" s="53"/>
      <c r="E1440" s="53"/>
      <c r="F1440" s="53"/>
      <c r="G1440" s="53"/>
      <c r="H1440" s="53"/>
      <c r="I1440" s="53"/>
      <c r="J1440" s="53"/>
      <c r="K1440" s="53"/>
      <c r="L1440" s="53"/>
      <c r="M1440" s="53"/>
    </row>
    <row r="1441" spans="2:13">
      <c r="B1441" s="53"/>
      <c r="C1441" s="53"/>
      <c r="D1441" s="53"/>
      <c r="E1441" s="53"/>
      <c r="F1441" s="53"/>
      <c r="G1441" s="53"/>
      <c r="H1441" s="53"/>
      <c r="I1441" s="53"/>
      <c r="J1441" s="53"/>
      <c r="K1441" s="53"/>
      <c r="L1441" s="53"/>
      <c r="M1441" s="53"/>
    </row>
    <row r="1442" spans="2:13">
      <c r="B1442" s="53"/>
      <c r="C1442" s="53"/>
      <c r="D1442" s="53"/>
      <c r="E1442" s="53"/>
      <c r="F1442" s="53"/>
      <c r="G1442" s="53"/>
      <c r="H1442" s="53"/>
      <c r="I1442" s="53"/>
      <c r="J1442" s="53"/>
      <c r="K1442" s="53"/>
      <c r="L1442" s="53"/>
      <c r="M1442" s="53"/>
    </row>
    <row r="1443" spans="2:13">
      <c r="B1443" s="53"/>
      <c r="C1443" s="53"/>
      <c r="D1443" s="53"/>
      <c r="E1443" s="53"/>
      <c r="F1443" s="53"/>
      <c r="G1443" s="53"/>
      <c r="H1443" s="53"/>
      <c r="I1443" s="53"/>
      <c r="J1443" s="53"/>
      <c r="K1443" s="53"/>
      <c r="L1443" s="53"/>
      <c r="M1443" s="53"/>
    </row>
    <row r="1444" spans="2:13">
      <c r="B1444" s="53"/>
      <c r="C1444" s="53"/>
      <c r="D1444" s="53"/>
      <c r="E1444" s="53"/>
      <c r="F1444" s="53"/>
      <c r="G1444" s="53"/>
      <c r="H1444" s="53"/>
      <c r="I1444" s="53"/>
      <c r="J1444" s="53"/>
      <c r="K1444" s="53"/>
      <c r="L1444" s="53"/>
      <c r="M1444" s="53"/>
    </row>
    <row r="1445" spans="2:13">
      <c r="B1445" s="53"/>
      <c r="C1445" s="53"/>
      <c r="D1445" s="53"/>
      <c r="E1445" s="53"/>
      <c r="F1445" s="53"/>
      <c r="G1445" s="53"/>
      <c r="H1445" s="53"/>
      <c r="I1445" s="53"/>
      <c r="J1445" s="53"/>
      <c r="K1445" s="53"/>
      <c r="L1445" s="53"/>
      <c r="M1445" s="53"/>
    </row>
    <row r="1446" spans="2:13">
      <c r="B1446" s="53"/>
      <c r="C1446" s="53"/>
      <c r="D1446" s="53"/>
      <c r="E1446" s="53"/>
      <c r="F1446" s="53"/>
      <c r="G1446" s="53"/>
      <c r="H1446" s="53"/>
      <c r="I1446" s="53"/>
      <c r="J1446" s="53"/>
      <c r="K1446" s="53"/>
      <c r="L1446" s="53"/>
      <c r="M1446" s="53"/>
    </row>
    <row r="1447" spans="2:13">
      <c r="B1447" s="53"/>
      <c r="C1447" s="53"/>
      <c r="D1447" s="53"/>
      <c r="E1447" s="53"/>
      <c r="F1447" s="53"/>
      <c r="G1447" s="53"/>
      <c r="H1447" s="53"/>
      <c r="I1447" s="53"/>
      <c r="J1447" s="53"/>
      <c r="K1447" s="53"/>
      <c r="L1447" s="53"/>
      <c r="M1447" s="53"/>
    </row>
    <row r="1448" spans="2:13">
      <c r="B1448" s="53"/>
      <c r="C1448" s="53"/>
      <c r="D1448" s="53"/>
      <c r="E1448" s="53"/>
      <c r="F1448" s="53"/>
      <c r="G1448" s="53"/>
      <c r="H1448" s="53"/>
      <c r="I1448" s="53"/>
      <c r="J1448" s="53"/>
      <c r="K1448" s="53"/>
      <c r="L1448" s="53"/>
      <c r="M1448" s="53"/>
    </row>
    <row r="1449" spans="2:13">
      <c r="B1449" s="53"/>
      <c r="C1449" s="53"/>
      <c r="D1449" s="53"/>
      <c r="E1449" s="53"/>
      <c r="F1449" s="53"/>
      <c r="G1449" s="53"/>
      <c r="H1449" s="53"/>
      <c r="I1449" s="53"/>
      <c r="J1449" s="53"/>
      <c r="K1449" s="53"/>
      <c r="L1449" s="53"/>
      <c r="M1449" s="53"/>
    </row>
    <row r="1450" spans="2:13">
      <c r="B1450" s="53"/>
      <c r="C1450" s="53"/>
      <c r="D1450" s="53"/>
      <c r="E1450" s="53"/>
      <c r="F1450" s="53"/>
      <c r="G1450" s="53"/>
      <c r="H1450" s="53"/>
      <c r="I1450" s="53"/>
      <c r="J1450" s="53"/>
      <c r="K1450" s="53"/>
      <c r="L1450" s="53"/>
      <c r="M1450" s="53"/>
    </row>
    <row r="1451" spans="2:13">
      <c r="B1451" s="53"/>
      <c r="C1451" s="53"/>
      <c r="D1451" s="53"/>
      <c r="E1451" s="53"/>
      <c r="F1451" s="53"/>
      <c r="G1451" s="53"/>
      <c r="H1451" s="53"/>
      <c r="I1451" s="53"/>
      <c r="J1451" s="53"/>
      <c r="K1451" s="53"/>
      <c r="L1451" s="53"/>
      <c r="M1451" s="53"/>
    </row>
    <row r="1452" spans="2:13">
      <c r="B1452" s="53"/>
      <c r="C1452" s="53"/>
      <c r="D1452" s="53"/>
      <c r="E1452" s="53"/>
      <c r="F1452" s="53"/>
      <c r="G1452" s="53"/>
      <c r="H1452" s="53"/>
      <c r="I1452" s="53"/>
      <c r="J1452" s="53"/>
      <c r="K1452" s="53"/>
      <c r="L1452" s="53"/>
      <c r="M1452" s="53"/>
    </row>
    <row r="1453" spans="2:13">
      <c r="B1453" s="53"/>
      <c r="C1453" s="53"/>
      <c r="D1453" s="53"/>
      <c r="E1453" s="53"/>
      <c r="F1453" s="53"/>
      <c r="G1453" s="53"/>
      <c r="H1453" s="53"/>
      <c r="I1453" s="53"/>
      <c r="J1453" s="53"/>
      <c r="K1453" s="53"/>
      <c r="L1453" s="53"/>
      <c r="M1453" s="53"/>
    </row>
    <row r="1454" spans="2:13">
      <c r="B1454" s="53"/>
      <c r="C1454" s="53"/>
      <c r="D1454" s="53"/>
      <c r="E1454" s="53"/>
      <c r="F1454" s="53"/>
      <c r="G1454" s="53"/>
      <c r="H1454" s="53"/>
      <c r="I1454" s="53"/>
      <c r="J1454" s="53"/>
      <c r="K1454" s="53"/>
      <c r="L1454" s="53"/>
      <c r="M1454" s="53"/>
    </row>
    <row r="1455" spans="2:13">
      <c r="B1455" s="53"/>
      <c r="C1455" s="53"/>
      <c r="D1455" s="53"/>
      <c r="E1455" s="53"/>
      <c r="F1455" s="53"/>
      <c r="G1455" s="53"/>
      <c r="H1455" s="53"/>
      <c r="I1455" s="53"/>
      <c r="J1455" s="53"/>
      <c r="K1455" s="53"/>
      <c r="L1455" s="53"/>
      <c r="M1455" s="53"/>
    </row>
    <row r="1456" spans="2:13">
      <c r="B1456" s="53"/>
      <c r="C1456" s="53"/>
      <c r="D1456" s="53"/>
      <c r="E1456" s="53"/>
      <c r="F1456" s="53"/>
      <c r="G1456" s="53"/>
      <c r="H1456" s="53"/>
      <c r="I1456" s="53"/>
      <c r="J1456" s="53"/>
      <c r="K1456" s="53"/>
      <c r="L1456" s="53"/>
      <c r="M1456" s="53"/>
    </row>
    <row r="1457" spans="2:13">
      <c r="B1457" s="53"/>
      <c r="C1457" s="53"/>
      <c r="D1457" s="53"/>
      <c r="E1457" s="53"/>
      <c r="F1457" s="53"/>
      <c r="G1457" s="53"/>
      <c r="H1457" s="53"/>
      <c r="I1457" s="53"/>
      <c r="J1457" s="53"/>
      <c r="K1457" s="53"/>
      <c r="L1457" s="53"/>
      <c r="M1457" s="53"/>
    </row>
    <row r="1458" spans="2:13">
      <c r="B1458" s="53"/>
      <c r="C1458" s="53"/>
      <c r="D1458" s="53"/>
      <c r="E1458" s="53"/>
      <c r="F1458" s="53"/>
      <c r="G1458" s="53"/>
      <c r="H1458" s="53"/>
      <c r="I1458" s="53"/>
      <c r="J1458" s="53"/>
      <c r="K1458" s="53"/>
      <c r="L1458" s="53"/>
      <c r="M1458" s="53"/>
    </row>
    <row r="1459" spans="2:13">
      <c r="B1459" s="53"/>
      <c r="C1459" s="53"/>
      <c r="D1459" s="53"/>
      <c r="E1459" s="53"/>
      <c r="F1459" s="53"/>
      <c r="G1459" s="53"/>
      <c r="H1459" s="53"/>
      <c r="I1459" s="53"/>
      <c r="J1459" s="53"/>
      <c r="K1459" s="53"/>
      <c r="L1459" s="53"/>
      <c r="M1459" s="53"/>
    </row>
    <row r="1460" spans="2:13">
      <c r="B1460" s="53"/>
      <c r="C1460" s="53"/>
      <c r="D1460" s="53"/>
      <c r="E1460" s="53"/>
      <c r="F1460" s="53"/>
      <c r="G1460" s="53"/>
      <c r="H1460" s="53"/>
      <c r="I1460" s="53"/>
      <c r="J1460" s="53"/>
      <c r="K1460" s="53"/>
      <c r="L1460" s="53"/>
      <c r="M1460" s="53"/>
    </row>
    <row r="1461" spans="2:13">
      <c r="B1461" s="53"/>
      <c r="C1461" s="53"/>
      <c r="D1461" s="53"/>
      <c r="E1461" s="53"/>
      <c r="F1461" s="53"/>
      <c r="G1461" s="53"/>
      <c r="H1461" s="53"/>
      <c r="I1461" s="53"/>
      <c r="J1461" s="53"/>
      <c r="K1461" s="53"/>
      <c r="L1461" s="53"/>
      <c r="M1461" s="53"/>
    </row>
    <row r="1462" spans="2:13">
      <c r="B1462" s="53"/>
      <c r="C1462" s="53"/>
      <c r="D1462" s="53"/>
      <c r="E1462" s="53"/>
      <c r="F1462" s="53"/>
      <c r="G1462" s="53"/>
      <c r="H1462" s="53"/>
      <c r="I1462" s="53"/>
      <c r="J1462" s="53"/>
      <c r="K1462" s="53"/>
      <c r="L1462" s="53"/>
      <c r="M1462" s="53"/>
    </row>
    <row r="1463" spans="2:13">
      <c r="B1463" s="53"/>
      <c r="C1463" s="53"/>
      <c r="D1463" s="53"/>
      <c r="E1463" s="53"/>
      <c r="F1463" s="53"/>
      <c r="G1463" s="53"/>
      <c r="H1463" s="53"/>
      <c r="I1463" s="53"/>
      <c r="J1463" s="53"/>
      <c r="K1463" s="53"/>
      <c r="L1463" s="53"/>
      <c r="M1463" s="53"/>
    </row>
    <row r="1464" spans="2:13">
      <c r="B1464" s="53"/>
      <c r="C1464" s="53"/>
      <c r="D1464" s="53"/>
      <c r="E1464" s="53"/>
      <c r="F1464" s="53"/>
      <c r="G1464" s="53"/>
      <c r="H1464" s="53"/>
      <c r="I1464" s="53"/>
      <c r="J1464" s="53"/>
      <c r="K1464" s="53"/>
      <c r="L1464" s="53"/>
      <c r="M1464" s="53"/>
    </row>
    <row r="1465" spans="2:13">
      <c r="B1465" s="53"/>
      <c r="C1465" s="53"/>
      <c r="D1465" s="53"/>
      <c r="E1465" s="53"/>
      <c r="F1465" s="53"/>
      <c r="G1465" s="53"/>
      <c r="H1465" s="53"/>
      <c r="I1465" s="53"/>
      <c r="J1465" s="53"/>
      <c r="K1465" s="53"/>
      <c r="L1465" s="53"/>
      <c r="M1465" s="53"/>
    </row>
    <row r="1466" spans="2:13">
      <c r="B1466" s="53"/>
      <c r="C1466" s="53"/>
      <c r="D1466" s="53"/>
      <c r="E1466" s="53"/>
      <c r="F1466" s="53"/>
      <c r="G1466" s="53"/>
      <c r="H1466" s="53"/>
      <c r="I1466" s="53"/>
      <c r="J1466" s="53"/>
      <c r="K1466" s="53"/>
      <c r="L1466" s="53"/>
      <c r="M1466" s="53"/>
    </row>
    <row r="1467" spans="2:13">
      <c r="B1467" s="53"/>
      <c r="C1467" s="53"/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</row>
    <row r="1468" spans="2:13">
      <c r="B1468" s="53"/>
      <c r="C1468" s="53"/>
      <c r="D1468" s="53"/>
      <c r="E1468" s="53"/>
      <c r="F1468" s="53"/>
      <c r="G1468" s="53"/>
      <c r="H1468" s="53"/>
      <c r="I1468" s="53"/>
      <c r="J1468" s="53"/>
      <c r="K1468" s="53"/>
      <c r="L1468" s="53"/>
      <c r="M1468" s="53"/>
    </row>
    <row r="1469" spans="2:13">
      <c r="B1469" s="53"/>
      <c r="C1469" s="53"/>
      <c r="D1469" s="53"/>
      <c r="E1469" s="53"/>
      <c r="F1469" s="53"/>
      <c r="G1469" s="53"/>
      <c r="H1469" s="53"/>
      <c r="I1469" s="53"/>
      <c r="J1469" s="53"/>
      <c r="K1469" s="53"/>
      <c r="L1469" s="53"/>
      <c r="M1469" s="53"/>
    </row>
    <row r="1470" spans="2:13">
      <c r="B1470" s="53"/>
      <c r="C1470" s="53"/>
      <c r="D1470" s="53"/>
      <c r="E1470" s="53"/>
      <c r="F1470" s="53"/>
      <c r="G1470" s="53"/>
      <c r="H1470" s="53"/>
      <c r="I1470" s="53"/>
      <c r="J1470" s="53"/>
      <c r="K1470" s="53"/>
      <c r="L1470" s="53"/>
      <c r="M1470" s="53"/>
    </row>
    <row r="1471" spans="2:13">
      <c r="B1471" s="53"/>
      <c r="C1471" s="53"/>
      <c r="D1471" s="53"/>
      <c r="E1471" s="53"/>
      <c r="F1471" s="53"/>
      <c r="G1471" s="53"/>
      <c r="H1471" s="53"/>
      <c r="I1471" s="53"/>
      <c r="J1471" s="53"/>
      <c r="K1471" s="53"/>
      <c r="L1471" s="53"/>
      <c r="M1471" s="53"/>
    </row>
    <row r="1472" spans="2:13"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</row>
    <row r="1473" spans="2:13">
      <c r="B1473" s="53"/>
      <c r="C1473" s="53"/>
      <c r="D1473" s="53"/>
      <c r="E1473" s="53"/>
      <c r="F1473" s="53"/>
      <c r="G1473" s="53"/>
      <c r="H1473" s="53"/>
      <c r="I1473" s="53"/>
      <c r="J1473" s="53"/>
      <c r="K1473" s="53"/>
      <c r="L1473" s="53"/>
      <c r="M1473" s="53"/>
    </row>
    <row r="1474" spans="2:13">
      <c r="B1474" s="53"/>
      <c r="C1474" s="53"/>
      <c r="D1474" s="53"/>
      <c r="E1474" s="53"/>
      <c r="F1474" s="53"/>
      <c r="G1474" s="53"/>
      <c r="H1474" s="53"/>
      <c r="I1474" s="53"/>
      <c r="J1474" s="53"/>
      <c r="K1474" s="53"/>
      <c r="L1474" s="53"/>
      <c r="M1474" s="53"/>
    </row>
    <row r="1475" spans="2:13">
      <c r="B1475" s="53"/>
      <c r="C1475" s="53"/>
      <c r="D1475" s="53"/>
      <c r="E1475" s="53"/>
      <c r="F1475" s="53"/>
      <c r="G1475" s="53"/>
      <c r="H1475" s="53"/>
      <c r="I1475" s="53"/>
      <c r="J1475" s="53"/>
      <c r="K1475" s="53"/>
      <c r="L1475" s="53"/>
      <c r="M1475" s="53"/>
    </row>
    <row r="1476" spans="2:13">
      <c r="B1476" s="53"/>
      <c r="C1476" s="53"/>
      <c r="D1476" s="53"/>
      <c r="E1476" s="53"/>
      <c r="F1476" s="53"/>
      <c r="G1476" s="53"/>
      <c r="H1476" s="53"/>
      <c r="I1476" s="53"/>
      <c r="J1476" s="53"/>
      <c r="K1476" s="53"/>
      <c r="L1476" s="53"/>
      <c r="M1476" s="53"/>
    </row>
    <row r="1477" spans="2:13">
      <c r="B1477" s="53"/>
      <c r="C1477" s="53"/>
      <c r="D1477" s="53"/>
      <c r="E1477" s="53"/>
      <c r="F1477" s="53"/>
      <c r="G1477" s="53"/>
      <c r="H1477" s="53"/>
      <c r="I1477" s="53"/>
      <c r="J1477" s="53"/>
      <c r="K1477" s="53"/>
      <c r="L1477" s="53"/>
      <c r="M1477" s="53"/>
    </row>
    <row r="1478" spans="2:13">
      <c r="B1478" s="53"/>
      <c r="C1478" s="53"/>
      <c r="D1478" s="53"/>
      <c r="E1478" s="53"/>
      <c r="F1478" s="53"/>
      <c r="G1478" s="53"/>
      <c r="H1478" s="53"/>
      <c r="I1478" s="53"/>
      <c r="J1478" s="53"/>
      <c r="K1478" s="53"/>
      <c r="L1478" s="53"/>
      <c r="M1478" s="53"/>
    </row>
    <row r="1479" spans="2:13">
      <c r="B1479" s="53"/>
      <c r="C1479" s="53"/>
      <c r="D1479" s="53"/>
      <c r="E1479" s="53"/>
      <c r="F1479" s="53"/>
      <c r="G1479" s="53"/>
      <c r="H1479" s="53"/>
      <c r="I1479" s="53"/>
      <c r="J1479" s="53"/>
      <c r="K1479" s="53"/>
      <c r="L1479" s="53"/>
      <c r="M1479" s="53"/>
    </row>
    <row r="1480" spans="2:13">
      <c r="B1480" s="53"/>
      <c r="C1480" s="53"/>
      <c r="D1480" s="53"/>
      <c r="E1480" s="53"/>
      <c r="F1480" s="53"/>
      <c r="G1480" s="53"/>
      <c r="H1480" s="53"/>
      <c r="I1480" s="53"/>
      <c r="J1480" s="53"/>
      <c r="K1480" s="53"/>
      <c r="L1480" s="53"/>
      <c r="M1480" s="53"/>
    </row>
    <row r="1481" spans="2:13">
      <c r="B1481" s="53"/>
      <c r="C1481" s="53"/>
      <c r="D1481" s="53"/>
      <c r="E1481" s="53"/>
      <c r="F1481" s="53"/>
      <c r="G1481" s="53"/>
      <c r="H1481" s="53"/>
      <c r="I1481" s="53"/>
      <c r="J1481" s="53"/>
      <c r="K1481" s="53"/>
      <c r="L1481" s="53"/>
      <c r="M1481" s="53"/>
    </row>
    <row r="1482" spans="2:13">
      <c r="B1482" s="53"/>
      <c r="C1482" s="53"/>
      <c r="D1482" s="53"/>
      <c r="E1482" s="53"/>
      <c r="F1482" s="53"/>
      <c r="G1482" s="53"/>
      <c r="H1482" s="53"/>
      <c r="I1482" s="53"/>
      <c r="J1482" s="53"/>
      <c r="K1482" s="53"/>
      <c r="L1482" s="53"/>
      <c r="M1482" s="53"/>
    </row>
    <row r="1483" spans="2:13">
      <c r="B1483" s="53"/>
      <c r="C1483" s="53"/>
      <c r="D1483" s="53"/>
      <c r="E1483" s="53"/>
      <c r="F1483" s="53"/>
      <c r="G1483" s="53"/>
      <c r="H1483" s="53"/>
      <c r="I1483" s="53"/>
      <c r="J1483" s="53"/>
      <c r="K1483" s="53"/>
      <c r="L1483" s="53"/>
      <c r="M1483" s="53"/>
    </row>
    <row r="1484" spans="2:13">
      <c r="B1484" s="53"/>
      <c r="C1484" s="53"/>
      <c r="D1484" s="53"/>
      <c r="E1484" s="53"/>
      <c r="F1484" s="53"/>
      <c r="G1484" s="53"/>
      <c r="H1484" s="53"/>
      <c r="I1484" s="53"/>
      <c r="J1484" s="53"/>
      <c r="K1484" s="53"/>
      <c r="L1484" s="53"/>
      <c r="M1484" s="53"/>
    </row>
    <row r="1485" spans="2:13">
      <c r="B1485" s="53"/>
      <c r="C1485" s="53"/>
      <c r="D1485" s="53"/>
      <c r="E1485" s="53"/>
      <c r="F1485" s="53"/>
      <c r="G1485" s="53"/>
      <c r="H1485" s="53"/>
      <c r="I1485" s="53"/>
      <c r="J1485" s="53"/>
      <c r="K1485" s="53"/>
      <c r="L1485" s="53"/>
      <c r="M1485" s="53"/>
    </row>
    <row r="1486" spans="2:13">
      <c r="B1486" s="53"/>
      <c r="C1486" s="53"/>
      <c r="D1486" s="53"/>
      <c r="E1486" s="53"/>
      <c r="F1486" s="53"/>
      <c r="G1486" s="53"/>
      <c r="H1486" s="53"/>
      <c r="I1486" s="53"/>
      <c r="J1486" s="53"/>
      <c r="K1486" s="53"/>
      <c r="L1486" s="53"/>
      <c r="M1486" s="53"/>
    </row>
    <row r="1487" spans="2:13">
      <c r="B1487" s="53"/>
      <c r="C1487" s="53"/>
      <c r="D1487" s="53"/>
      <c r="E1487" s="53"/>
      <c r="F1487" s="53"/>
      <c r="G1487" s="53"/>
      <c r="H1487" s="53"/>
      <c r="I1487" s="53"/>
      <c r="J1487" s="53"/>
      <c r="K1487" s="53"/>
      <c r="L1487" s="53"/>
      <c r="M1487" s="53"/>
    </row>
    <row r="1488" spans="2:13">
      <c r="B1488" s="53"/>
      <c r="C1488" s="53"/>
      <c r="D1488" s="53"/>
      <c r="E1488" s="53"/>
      <c r="F1488" s="53"/>
      <c r="G1488" s="53"/>
      <c r="H1488" s="53"/>
      <c r="I1488" s="53"/>
      <c r="J1488" s="53"/>
      <c r="K1488" s="53"/>
      <c r="L1488" s="53"/>
      <c r="M1488" s="53"/>
    </row>
    <row r="1489" spans="2:13">
      <c r="B1489" s="53"/>
      <c r="C1489" s="53"/>
      <c r="D1489" s="53"/>
      <c r="E1489" s="53"/>
      <c r="F1489" s="53"/>
      <c r="G1489" s="53"/>
      <c r="H1489" s="53"/>
      <c r="I1489" s="53"/>
      <c r="J1489" s="53"/>
      <c r="K1489" s="53"/>
      <c r="L1489" s="53"/>
      <c r="M1489" s="53"/>
    </row>
    <row r="1490" spans="2:13">
      <c r="B1490" s="53"/>
      <c r="C1490" s="53"/>
      <c r="D1490" s="53"/>
      <c r="E1490" s="53"/>
      <c r="F1490" s="53"/>
      <c r="G1490" s="53"/>
      <c r="H1490" s="53"/>
      <c r="I1490" s="53"/>
      <c r="J1490" s="53"/>
      <c r="K1490" s="53"/>
      <c r="L1490" s="53"/>
      <c r="M1490" s="53"/>
    </row>
    <row r="1491" spans="2:13">
      <c r="B1491" s="53"/>
      <c r="C1491" s="53"/>
      <c r="D1491" s="53"/>
      <c r="E1491" s="53"/>
      <c r="F1491" s="53"/>
      <c r="G1491" s="53"/>
      <c r="H1491" s="53"/>
      <c r="I1491" s="53"/>
      <c r="J1491" s="53"/>
      <c r="K1491" s="53"/>
      <c r="L1491" s="53"/>
      <c r="M1491" s="53"/>
    </row>
    <row r="1492" spans="2:13">
      <c r="B1492" s="53"/>
      <c r="C1492" s="53"/>
      <c r="D1492" s="53"/>
      <c r="E1492" s="53"/>
      <c r="F1492" s="53"/>
      <c r="G1492" s="53"/>
      <c r="H1492" s="53"/>
      <c r="I1492" s="53"/>
      <c r="J1492" s="53"/>
      <c r="K1492" s="53"/>
      <c r="L1492" s="53"/>
      <c r="M1492" s="53"/>
    </row>
    <row r="1493" spans="2:13">
      <c r="B1493" s="53"/>
      <c r="C1493" s="53"/>
      <c r="D1493" s="53"/>
      <c r="E1493" s="53"/>
      <c r="F1493" s="53"/>
      <c r="G1493" s="53"/>
      <c r="H1493" s="53"/>
      <c r="I1493" s="53"/>
      <c r="J1493" s="53"/>
      <c r="K1493" s="53"/>
      <c r="L1493" s="53"/>
      <c r="M1493" s="53"/>
    </row>
    <row r="1494" spans="2:13">
      <c r="B1494" s="53"/>
      <c r="C1494" s="53"/>
      <c r="D1494" s="53"/>
      <c r="E1494" s="53"/>
      <c r="F1494" s="53"/>
      <c r="G1494" s="53"/>
      <c r="H1494" s="53"/>
      <c r="I1494" s="53"/>
      <c r="J1494" s="53"/>
      <c r="K1494" s="53"/>
      <c r="L1494" s="53"/>
      <c r="M1494" s="53"/>
    </row>
    <row r="1495" spans="2:13">
      <c r="B1495" s="53"/>
      <c r="C1495" s="53"/>
      <c r="D1495" s="53"/>
      <c r="E1495" s="53"/>
      <c r="F1495" s="53"/>
      <c r="G1495" s="53"/>
      <c r="H1495" s="53"/>
      <c r="I1495" s="53"/>
      <c r="J1495" s="53"/>
      <c r="K1495" s="53"/>
      <c r="L1495" s="53"/>
      <c r="M1495" s="53"/>
    </row>
    <row r="1496" spans="2:13">
      <c r="B1496" s="53"/>
      <c r="C1496" s="53"/>
      <c r="D1496" s="53"/>
      <c r="E1496" s="53"/>
      <c r="F1496" s="53"/>
      <c r="G1496" s="53"/>
      <c r="H1496" s="53"/>
      <c r="I1496" s="53"/>
      <c r="J1496" s="53"/>
      <c r="K1496" s="53"/>
      <c r="L1496" s="53"/>
      <c r="M1496" s="53"/>
    </row>
    <row r="1497" spans="2:13">
      <c r="B1497" s="53"/>
      <c r="C1497" s="53"/>
      <c r="D1497" s="53"/>
      <c r="E1497" s="53"/>
      <c r="F1497" s="53"/>
      <c r="G1497" s="53"/>
      <c r="H1497" s="53"/>
      <c r="I1497" s="53"/>
      <c r="J1497" s="53"/>
      <c r="K1497" s="53"/>
      <c r="L1497" s="53"/>
      <c r="M1497" s="53"/>
    </row>
    <row r="1498" spans="2:13">
      <c r="B1498" s="53"/>
      <c r="C1498" s="53"/>
      <c r="D1498" s="53"/>
      <c r="E1498" s="53"/>
      <c r="F1498" s="53"/>
      <c r="G1498" s="53"/>
      <c r="H1498" s="53"/>
      <c r="I1498" s="53"/>
      <c r="J1498" s="53"/>
      <c r="K1498" s="53"/>
      <c r="L1498" s="53"/>
      <c r="M1498" s="53"/>
    </row>
    <row r="1499" spans="2:13">
      <c r="B1499" s="53"/>
      <c r="C1499" s="53"/>
      <c r="D1499" s="53"/>
      <c r="E1499" s="53"/>
      <c r="F1499" s="53"/>
      <c r="G1499" s="53"/>
      <c r="H1499" s="53"/>
      <c r="I1499" s="53"/>
      <c r="J1499" s="53"/>
      <c r="K1499" s="53"/>
      <c r="L1499" s="53"/>
      <c r="M1499" s="53"/>
    </row>
    <row r="1500" spans="2:13">
      <c r="B1500" s="53"/>
      <c r="C1500" s="53"/>
      <c r="D1500" s="53"/>
      <c r="E1500" s="53"/>
      <c r="F1500" s="53"/>
      <c r="G1500" s="53"/>
      <c r="H1500" s="53"/>
      <c r="I1500" s="53"/>
      <c r="J1500" s="53"/>
      <c r="K1500" s="53"/>
      <c r="L1500" s="53"/>
      <c r="M1500" s="53"/>
    </row>
    <row r="1501" spans="2:13">
      <c r="B1501" s="53"/>
      <c r="C1501" s="53"/>
      <c r="D1501" s="53"/>
      <c r="E1501" s="53"/>
      <c r="F1501" s="53"/>
      <c r="G1501" s="53"/>
      <c r="H1501" s="53"/>
      <c r="I1501" s="53"/>
      <c r="J1501" s="53"/>
      <c r="K1501" s="53"/>
      <c r="L1501" s="53"/>
      <c r="M1501" s="53"/>
    </row>
    <row r="1502" spans="2:13">
      <c r="B1502" s="53"/>
      <c r="C1502" s="53"/>
      <c r="D1502" s="53"/>
      <c r="E1502" s="53"/>
      <c r="F1502" s="53"/>
      <c r="G1502" s="53"/>
      <c r="H1502" s="53"/>
      <c r="I1502" s="53"/>
      <c r="J1502" s="53"/>
      <c r="K1502" s="53"/>
      <c r="L1502" s="53"/>
      <c r="M1502" s="53"/>
    </row>
    <row r="1503" spans="2:13">
      <c r="B1503" s="53"/>
      <c r="C1503" s="53"/>
      <c r="D1503" s="53"/>
      <c r="E1503" s="53"/>
      <c r="F1503" s="53"/>
      <c r="G1503" s="53"/>
      <c r="H1503" s="53"/>
      <c r="I1503" s="53"/>
      <c r="J1503" s="53"/>
      <c r="K1503" s="53"/>
      <c r="L1503" s="53"/>
      <c r="M1503" s="53"/>
    </row>
    <row r="1504" spans="2:13">
      <c r="B1504" s="53"/>
      <c r="C1504" s="53"/>
      <c r="D1504" s="53"/>
      <c r="E1504" s="53"/>
      <c r="F1504" s="53"/>
      <c r="G1504" s="53"/>
      <c r="H1504" s="53"/>
      <c r="I1504" s="53"/>
      <c r="J1504" s="53"/>
      <c r="K1504" s="53"/>
      <c r="L1504" s="53"/>
      <c r="M1504" s="53"/>
    </row>
    <row r="1505" spans="2:13">
      <c r="B1505" s="53"/>
      <c r="C1505" s="53"/>
      <c r="D1505" s="53"/>
      <c r="E1505" s="53"/>
      <c r="F1505" s="53"/>
      <c r="G1505" s="53"/>
      <c r="H1505" s="53"/>
      <c r="I1505" s="53"/>
      <c r="J1505" s="53"/>
      <c r="K1505" s="53"/>
      <c r="L1505" s="53"/>
      <c r="M1505" s="53"/>
    </row>
    <row r="1506" spans="2:13">
      <c r="B1506" s="53"/>
      <c r="C1506" s="53"/>
      <c r="D1506" s="53"/>
      <c r="E1506" s="53"/>
      <c r="F1506" s="53"/>
      <c r="G1506" s="53"/>
      <c r="H1506" s="53"/>
      <c r="I1506" s="53"/>
      <c r="J1506" s="53"/>
      <c r="K1506" s="53"/>
      <c r="L1506" s="53"/>
      <c r="M1506" s="53"/>
    </row>
    <row r="1507" spans="2:13">
      <c r="B1507" s="53"/>
      <c r="C1507" s="53"/>
      <c r="D1507" s="53"/>
      <c r="E1507" s="53"/>
      <c r="F1507" s="53"/>
      <c r="G1507" s="53"/>
      <c r="H1507" s="53"/>
      <c r="I1507" s="53"/>
      <c r="J1507" s="53"/>
      <c r="K1507" s="53"/>
      <c r="L1507" s="53"/>
      <c r="M1507" s="53"/>
    </row>
    <row r="1508" spans="2:13">
      <c r="B1508" s="53"/>
      <c r="C1508" s="53"/>
      <c r="D1508" s="53"/>
      <c r="E1508" s="53"/>
      <c r="F1508" s="53"/>
      <c r="G1508" s="53"/>
      <c r="H1508" s="53"/>
      <c r="I1508" s="53"/>
      <c r="J1508" s="53"/>
      <c r="K1508" s="53"/>
      <c r="L1508" s="53"/>
      <c r="M1508" s="53"/>
    </row>
    <row r="1509" spans="2:13">
      <c r="B1509" s="53"/>
      <c r="C1509" s="53"/>
      <c r="D1509" s="53"/>
      <c r="E1509" s="53"/>
      <c r="F1509" s="53"/>
      <c r="G1509" s="53"/>
      <c r="H1509" s="53"/>
      <c r="I1509" s="53"/>
      <c r="J1509" s="53"/>
      <c r="K1509" s="53"/>
      <c r="L1509" s="53"/>
      <c r="M1509" s="53"/>
    </row>
    <row r="1510" spans="2:13">
      <c r="B1510" s="53"/>
      <c r="C1510" s="53"/>
      <c r="D1510" s="53"/>
      <c r="E1510" s="53"/>
      <c r="F1510" s="53"/>
      <c r="G1510" s="53"/>
      <c r="H1510" s="53"/>
      <c r="I1510" s="53"/>
      <c r="J1510" s="53"/>
      <c r="K1510" s="53"/>
      <c r="L1510" s="53"/>
      <c r="M1510" s="53"/>
    </row>
    <row r="1511" spans="2:13">
      <c r="B1511" s="53"/>
      <c r="C1511" s="53"/>
      <c r="D1511" s="53"/>
      <c r="E1511" s="53"/>
      <c r="F1511" s="53"/>
      <c r="G1511" s="53"/>
      <c r="H1511" s="53"/>
      <c r="I1511" s="53"/>
      <c r="J1511" s="53"/>
      <c r="K1511" s="53"/>
      <c r="L1511" s="53"/>
      <c r="M1511" s="53"/>
    </row>
    <row r="1512" spans="2:13">
      <c r="B1512" s="53"/>
      <c r="C1512" s="53"/>
      <c r="D1512" s="53"/>
      <c r="E1512" s="53"/>
      <c r="F1512" s="53"/>
      <c r="G1512" s="53"/>
      <c r="H1512" s="53"/>
      <c r="I1512" s="53"/>
      <c r="J1512" s="53"/>
      <c r="K1512" s="53"/>
      <c r="L1512" s="53"/>
      <c r="M1512" s="53"/>
    </row>
    <row r="1513" spans="2:13">
      <c r="B1513" s="53"/>
      <c r="C1513" s="53"/>
      <c r="D1513" s="53"/>
      <c r="E1513" s="53"/>
      <c r="F1513" s="53"/>
      <c r="G1513" s="53"/>
      <c r="H1513" s="53"/>
      <c r="I1513" s="53"/>
      <c r="J1513" s="53"/>
      <c r="K1513" s="53"/>
      <c r="L1513" s="53"/>
      <c r="M1513" s="53"/>
    </row>
    <row r="1514" spans="2:13">
      <c r="B1514" s="53"/>
      <c r="C1514" s="53"/>
      <c r="D1514" s="53"/>
      <c r="E1514" s="53"/>
      <c r="F1514" s="53"/>
      <c r="G1514" s="53"/>
      <c r="H1514" s="53"/>
      <c r="I1514" s="53"/>
      <c r="J1514" s="53"/>
      <c r="K1514" s="53"/>
      <c r="L1514" s="53"/>
      <c r="M1514" s="53"/>
    </row>
    <row r="1515" spans="2:13">
      <c r="B1515" s="53"/>
      <c r="C1515" s="53"/>
      <c r="D1515" s="53"/>
      <c r="E1515" s="53"/>
      <c r="F1515" s="53"/>
      <c r="G1515" s="53"/>
      <c r="H1515" s="53"/>
      <c r="I1515" s="53"/>
      <c r="J1515" s="53"/>
      <c r="K1515" s="53"/>
      <c r="L1515" s="53"/>
      <c r="M1515" s="53"/>
    </row>
    <row r="1516" spans="2:13">
      <c r="B1516" s="53"/>
      <c r="C1516" s="53"/>
      <c r="D1516" s="53"/>
      <c r="E1516" s="53"/>
      <c r="F1516" s="53"/>
      <c r="G1516" s="53"/>
      <c r="H1516" s="53"/>
      <c r="I1516" s="53"/>
      <c r="J1516" s="53"/>
      <c r="K1516" s="53"/>
      <c r="L1516" s="53"/>
      <c r="M1516" s="53"/>
    </row>
    <row r="1517" spans="2:13">
      <c r="B1517" s="53"/>
      <c r="C1517" s="53"/>
      <c r="D1517" s="53"/>
      <c r="E1517" s="53"/>
      <c r="F1517" s="53"/>
      <c r="G1517" s="53"/>
      <c r="H1517" s="53"/>
      <c r="I1517" s="53"/>
      <c r="J1517" s="53"/>
      <c r="K1517" s="53"/>
      <c r="L1517" s="53"/>
      <c r="M1517" s="53"/>
    </row>
    <row r="1518" spans="2:13">
      <c r="B1518" s="53"/>
      <c r="C1518" s="53"/>
      <c r="D1518" s="53"/>
      <c r="E1518" s="53"/>
      <c r="F1518" s="53"/>
      <c r="G1518" s="53"/>
      <c r="H1518" s="53"/>
      <c r="I1518" s="53"/>
      <c r="J1518" s="53"/>
      <c r="K1518" s="53"/>
      <c r="L1518" s="53"/>
      <c r="M1518" s="53"/>
    </row>
    <row r="1519" spans="2:13">
      <c r="B1519" s="53"/>
      <c r="C1519" s="53"/>
      <c r="D1519" s="53"/>
      <c r="E1519" s="53"/>
      <c r="F1519" s="53"/>
      <c r="G1519" s="53"/>
      <c r="H1519" s="53"/>
      <c r="I1519" s="53"/>
      <c r="J1519" s="53"/>
      <c r="K1519" s="53"/>
      <c r="L1519" s="53"/>
      <c r="M1519" s="53"/>
    </row>
    <row r="1520" spans="2:13">
      <c r="B1520" s="53"/>
      <c r="C1520" s="53"/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</row>
    <row r="1521" spans="2:13">
      <c r="B1521" s="53"/>
      <c r="C1521" s="53"/>
      <c r="D1521" s="53"/>
      <c r="E1521" s="53"/>
      <c r="F1521" s="53"/>
      <c r="G1521" s="53"/>
      <c r="H1521" s="53"/>
      <c r="I1521" s="53"/>
      <c r="J1521" s="53"/>
      <c r="K1521" s="53"/>
      <c r="L1521" s="53"/>
      <c r="M1521" s="53"/>
    </row>
    <row r="1522" spans="2:13">
      <c r="B1522" s="53"/>
      <c r="C1522" s="53"/>
      <c r="D1522" s="53"/>
      <c r="E1522" s="53"/>
      <c r="F1522" s="53"/>
      <c r="G1522" s="53"/>
      <c r="H1522" s="53"/>
      <c r="I1522" s="53"/>
      <c r="J1522" s="53"/>
      <c r="K1522" s="53"/>
      <c r="L1522" s="53"/>
      <c r="M1522" s="53"/>
    </row>
    <row r="1523" spans="2:13">
      <c r="B1523" s="53"/>
      <c r="C1523" s="53"/>
      <c r="D1523" s="53"/>
      <c r="E1523" s="53"/>
      <c r="F1523" s="53"/>
      <c r="G1523" s="53"/>
      <c r="H1523" s="53"/>
      <c r="I1523" s="53"/>
      <c r="J1523" s="53"/>
      <c r="K1523" s="53"/>
      <c r="L1523" s="53"/>
      <c r="M1523" s="53"/>
    </row>
    <row r="1524" spans="2:13">
      <c r="B1524" s="53"/>
      <c r="C1524" s="53"/>
      <c r="D1524" s="53"/>
      <c r="E1524" s="53"/>
      <c r="F1524" s="53"/>
      <c r="G1524" s="53"/>
      <c r="H1524" s="53"/>
      <c r="I1524" s="53"/>
      <c r="J1524" s="53"/>
      <c r="K1524" s="53"/>
      <c r="L1524" s="53"/>
      <c r="M1524" s="53"/>
    </row>
    <row r="1525" spans="2:13"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</row>
    <row r="1526" spans="2:13">
      <c r="B1526" s="53"/>
      <c r="C1526" s="53"/>
      <c r="D1526" s="53"/>
      <c r="E1526" s="53"/>
      <c r="F1526" s="53"/>
      <c r="G1526" s="53"/>
      <c r="H1526" s="53"/>
      <c r="I1526" s="53"/>
      <c r="J1526" s="53"/>
      <c r="K1526" s="53"/>
      <c r="L1526" s="53"/>
      <c r="M1526" s="53"/>
    </row>
    <row r="1527" spans="2:13">
      <c r="B1527" s="53"/>
      <c r="C1527" s="53"/>
      <c r="D1527" s="53"/>
      <c r="E1527" s="53"/>
      <c r="F1527" s="53"/>
      <c r="G1527" s="53"/>
      <c r="H1527" s="53"/>
      <c r="I1527" s="53"/>
      <c r="J1527" s="53"/>
      <c r="K1527" s="53"/>
      <c r="L1527" s="53"/>
      <c r="M1527" s="53"/>
    </row>
    <row r="1528" spans="2:13">
      <c r="B1528" s="53"/>
      <c r="C1528" s="53"/>
      <c r="D1528" s="53"/>
      <c r="E1528" s="53"/>
      <c r="F1528" s="53"/>
      <c r="G1528" s="53"/>
      <c r="H1528" s="53"/>
      <c r="I1528" s="53"/>
      <c r="J1528" s="53"/>
      <c r="K1528" s="53"/>
      <c r="L1528" s="53"/>
      <c r="M1528" s="53"/>
    </row>
    <row r="1529" spans="2:13">
      <c r="B1529" s="53"/>
      <c r="C1529" s="53"/>
      <c r="D1529" s="53"/>
      <c r="E1529" s="53"/>
      <c r="F1529" s="53"/>
      <c r="G1529" s="53"/>
      <c r="H1529" s="53"/>
      <c r="I1529" s="53"/>
      <c r="J1529" s="53"/>
      <c r="K1529" s="53"/>
      <c r="L1529" s="53"/>
      <c r="M1529" s="53"/>
    </row>
    <row r="1530" spans="2:13">
      <c r="B1530" s="53"/>
      <c r="C1530" s="53"/>
      <c r="D1530" s="53"/>
      <c r="E1530" s="53"/>
      <c r="F1530" s="53"/>
      <c r="G1530" s="53"/>
      <c r="H1530" s="53"/>
      <c r="I1530" s="53"/>
      <c r="J1530" s="53"/>
      <c r="K1530" s="53"/>
      <c r="L1530" s="53"/>
      <c r="M1530" s="53"/>
    </row>
    <row r="1531" spans="2:13">
      <c r="B1531" s="53"/>
      <c r="C1531" s="53"/>
      <c r="D1531" s="53"/>
      <c r="E1531" s="53"/>
      <c r="F1531" s="53"/>
      <c r="G1531" s="53"/>
      <c r="H1531" s="53"/>
      <c r="I1531" s="53"/>
      <c r="J1531" s="53"/>
      <c r="K1531" s="53"/>
      <c r="L1531" s="53"/>
      <c r="M1531" s="53"/>
    </row>
    <row r="1532" spans="2:13">
      <c r="B1532" s="53"/>
      <c r="C1532" s="53"/>
      <c r="D1532" s="53"/>
      <c r="E1532" s="53"/>
      <c r="F1532" s="53"/>
      <c r="G1532" s="53"/>
      <c r="H1532" s="53"/>
      <c r="I1532" s="53"/>
      <c r="J1532" s="53"/>
      <c r="K1532" s="53"/>
      <c r="L1532" s="53"/>
      <c r="M1532" s="53"/>
    </row>
    <row r="1533" spans="2:13">
      <c r="B1533" s="53"/>
      <c r="C1533" s="53"/>
      <c r="D1533" s="53"/>
      <c r="E1533" s="53"/>
      <c r="F1533" s="53"/>
      <c r="G1533" s="53"/>
      <c r="H1533" s="53"/>
      <c r="I1533" s="53"/>
      <c r="J1533" s="53"/>
      <c r="K1533" s="53"/>
      <c r="L1533" s="53"/>
      <c r="M1533" s="53"/>
    </row>
    <row r="1534" spans="2:13">
      <c r="B1534" s="53"/>
      <c r="C1534" s="53"/>
      <c r="D1534" s="53"/>
      <c r="E1534" s="53"/>
      <c r="F1534" s="53"/>
      <c r="G1534" s="53"/>
      <c r="H1534" s="53"/>
      <c r="I1534" s="53"/>
      <c r="J1534" s="53"/>
      <c r="K1534" s="53"/>
      <c r="L1534" s="53"/>
      <c r="M1534" s="53"/>
    </row>
    <row r="1535" spans="2:13">
      <c r="B1535" s="53"/>
      <c r="C1535" s="53"/>
      <c r="D1535" s="53"/>
      <c r="E1535" s="53"/>
      <c r="F1535" s="53"/>
      <c r="G1535" s="53"/>
      <c r="H1535" s="53"/>
      <c r="I1535" s="53"/>
      <c r="J1535" s="53"/>
      <c r="K1535" s="53"/>
      <c r="L1535" s="53"/>
      <c r="M1535" s="53"/>
    </row>
    <row r="1536" spans="2:13">
      <c r="B1536" s="53"/>
      <c r="C1536" s="53"/>
      <c r="D1536" s="53"/>
      <c r="E1536" s="53"/>
      <c r="F1536" s="53"/>
      <c r="G1536" s="53"/>
      <c r="H1536" s="53"/>
      <c r="I1536" s="53"/>
      <c r="J1536" s="53"/>
      <c r="K1536" s="53"/>
      <c r="L1536" s="53"/>
      <c r="M1536" s="53"/>
    </row>
    <row r="1537" spans="2:13">
      <c r="B1537" s="53"/>
      <c r="C1537" s="53"/>
      <c r="D1537" s="53"/>
      <c r="E1537" s="53"/>
      <c r="F1537" s="53"/>
      <c r="G1537" s="53"/>
      <c r="H1537" s="53"/>
      <c r="I1537" s="53"/>
      <c r="J1537" s="53"/>
      <c r="K1537" s="53"/>
      <c r="L1537" s="53"/>
      <c r="M1537" s="53"/>
    </row>
    <row r="1538" spans="2:13">
      <c r="B1538" s="53"/>
      <c r="C1538" s="53"/>
      <c r="D1538" s="53"/>
      <c r="E1538" s="53"/>
      <c r="F1538" s="53"/>
      <c r="G1538" s="53"/>
      <c r="H1538" s="53"/>
      <c r="I1538" s="53"/>
      <c r="J1538" s="53"/>
      <c r="K1538" s="53"/>
      <c r="L1538" s="53"/>
      <c r="M1538" s="53"/>
    </row>
    <row r="1539" spans="2:13">
      <c r="B1539" s="53"/>
      <c r="C1539" s="53"/>
      <c r="D1539" s="53"/>
      <c r="E1539" s="53"/>
      <c r="F1539" s="53"/>
      <c r="G1539" s="53"/>
      <c r="H1539" s="53"/>
      <c r="I1539" s="53"/>
      <c r="J1539" s="53"/>
      <c r="K1539" s="53"/>
      <c r="L1539" s="53"/>
      <c r="M1539" s="53"/>
    </row>
    <row r="1540" spans="2:13">
      <c r="B1540" s="53"/>
      <c r="C1540" s="53"/>
      <c r="D1540" s="53"/>
      <c r="E1540" s="53"/>
      <c r="F1540" s="53"/>
      <c r="G1540" s="53"/>
      <c r="H1540" s="53"/>
      <c r="I1540" s="53"/>
      <c r="J1540" s="53"/>
      <c r="K1540" s="53"/>
      <c r="L1540" s="53"/>
      <c r="M1540" s="53"/>
    </row>
    <row r="1541" spans="2:13">
      <c r="B1541" s="53"/>
      <c r="C1541" s="53"/>
      <c r="D1541" s="53"/>
      <c r="E1541" s="53"/>
      <c r="F1541" s="53"/>
      <c r="G1541" s="53"/>
      <c r="H1541" s="53"/>
      <c r="I1541" s="53"/>
      <c r="J1541" s="53"/>
      <c r="K1541" s="53"/>
      <c r="L1541" s="53"/>
      <c r="M1541" s="53"/>
    </row>
    <row r="1542" spans="2:13">
      <c r="B1542" s="53"/>
      <c r="C1542" s="53"/>
      <c r="D1542" s="53"/>
      <c r="E1542" s="53"/>
      <c r="F1542" s="53"/>
      <c r="G1542" s="53"/>
      <c r="H1542" s="53"/>
      <c r="I1542" s="53"/>
      <c r="J1542" s="53"/>
      <c r="K1542" s="53"/>
      <c r="L1542" s="53"/>
      <c r="M1542" s="53"/>
    </row>
    <row r="1543" spans="2:13">
      <c r="B1543" s="53"/>
      <c r="C1543" s="53"/>
      <c r="D1543" s="53"/>
      <c r="E1543" s="53"/>
      <c r="F1543" s="53"/>
      <c r="G1543" s="53"/>
      <c r="H1543" s="53"/>
      <c r="I1543" s="53"/>
      <c r="J1543" s="53"/>
      <c r="K1543" s="53"/>
      <c r="L1543" s="53"/>
      <c r="M1543" s="53"/>
    </row>
    <row r="1544" spans="2:13">
      <c r="B1544" s="53"/>
      <c r="C1544" s="53"/>
      <c r="D1544" s="53"/>
      <c r="E1544" s="53"/>
      <c r="F1544" s="53"/>
      <c r="G1544" s="53"/>
      <c r="H1544" s="53"/>
      <c r="I1544" s="53"/>
      <c r="J1544" s="53"/>
      <c r="K1544" s="53"/>
      <c r="L1544" s="53"/>
      <c r="M1544" s="53"/>
    </row>
    <row r="1545" spans="2:13">
      <c r="B1545" s="53"/>
      <c r="C1545" s="53"/>
      <c r="D1545" s="53"/>
      <c r="E1545" s="53"/>
      <c r="F1545" s="53"/>
      <c r="G1545" s="53"/>
      <c r="H1545" s="53"/>
      <c r="I1545" s="53"/>
      <c r="J1545" s="53"/>
      <c r="K1545" s="53"/>
      <c r="L1545" s="53"/>
      <c r="M1545" s="53"/>
    </row>
    <row r="1546" spans="2:13">
      <c r="B1546" s="53"/>
      <c r="C1546" s="53"/>
      <c r="D1546" s="53"/>
      <c r="E1546" s="53"/>
      <c r="F1546" s="53"/>
      <c r="G1546" s="53"/>
      <c r="H1546" s="53"/>
      <c r="I1546" s="53"/>
      <c r="J1546" s="53"/>
      <c r="K1546" s="53"/>
      <c r="L1546" s="53"/>
      <c r="M1546" s="53"/>
    </row>
    <row r="1547" spans="2:13">
      <c r="B1547" s="53"/>
      <c r="C1547" s="53"/>
      <c r="D1547" s="53"/>
      <c r="E1547" s="53"/>
      <c r="F1547" s="53"/>
      <c r="G1547" s="53"/>
      <c r="H1547" s="53"/>
      <c r="I1547" s="53"/>
      <c r="J1547" s="53"/>
      <c r="K1547" s="53"/>
      <c r="L1547" s="53"/>
      <c r="M1547" s="53"/>
    </row>
    <row r="1548" spans="2:13">
      <c r="B1548" s="53"/>
      <c r="C1548" s="53"/>
      <c r="D1548" s="53"/>
      <c r="E1548" s="53"/>
      <c r="F1548" s="53"/>
      <c r="G1548" s="53"/>
      <c r="H1548" s="53"/>
      <c r="I1548" s="53"/>
      <c r="J1548" s="53"/>
      <c r="K1548" s="53"/>
      <c r="L1548" s="53"/>
      <c r="M1548" s="53"/>
    </row>
    <row r="1549" spans="2:13">
      <c r="B1549" s="53"/>
      <c r="C1549" s="53"/>
      <c r="D1549" s="53"/>
      <c r="E1549" s="53"/>
      <c r="F1549" s="53"/>
      <c r="G1549" s="53"/>
      <c r="H1549" s="53"/>
      <c r="I1549" s="53"/>
      <c r="J1549" s="53"/>
      <c r="K1549" s="53"/>
      <c r="L1549" s="53"/>
      <c r="M1549" s="53"/>
    </row>
    <row r="1550" spans="2:13">
      <c r="B1550" s="53"/>
      <c r="C1550" s="53"/>
      <c r="D1550" s="53"/>
      <c r="E1550" s="53"/>
      <c r="F1550" s="53"/>
      <c r="G1550" s="53"/>
      <c r="H1550" s="53"/>
      <c r="I1550" s="53"/>
      <c r="J1550" s="53"/>
      <c r="K1550" s="53"/>
      <c r="L1550" s="53"/>
      <c r="M1550" s="53"/>
    </row>
    <row r="1551" spans="2:13">
      <c r="B1551" s="53"/>
      <c r="C1551" s="53"/>
      <c r="D1551" s="53"/>
      <c r="E1551" s="53"/>
      <c r="F1551" s="53"/>
      <c r="G1551" s="53"/>
      <c r="H1551" s="53"/>
      <c r="I1551" s="53"/>
      <c r="J1551" s="53"/>
      <c r="K1551" s="53"/>
      <c r="L1551" s="53"/>
      <c r="M1551" s="53"/>
    </row>
    <row r="1552" spans="2:13">
      <c r="B1552" s="53"/>
      <c r="C1552" s="53"/>
      <c r="D1552" s="53"/>
      <c r="E1552" s="53"/>
      <c r="F1552" s="53"/>
      <c r="G1552" s="53"/>
      <c r="H1552" s="53"/>
      <c r="I1552" s="53"/>
      <c r="J1552" s="53"/>
      <c r="K1552" s="53"/>
      <c r="L1552" s="53"/>
      <c r="M1552" s="53"/>
    </row>
    <row r="1553" spans="2:13">
      <c r="B1553" s="53"/>
      <c r="C1553" s="53"/>
      <c r="D1553" s="53"/>
      <c r="E1553" s="53"/>
      <c r="F1553" s="53"/>
      <c r="G1553" s="53"/>
      <c r="H1553" s="53"/>
      <c r="I1553" s="53"/>
      <c r="J1553" s="53"/>
      <c r="K1553" s="53"/>
      <c r="L1553" s="53"/>
      <c r="M1553" s="53"/>
    </row>
    <row r="1554" spans="2:13">
      <c r="B1554" s="53"/>
      <c r="C1554" s="53"/>
      <c r="D1554" s="53"/>
      <c r="E1554" s="53"/>
      <c r="F1554" s="53"/>
      <c r="G1554" s="53"/>
      <c r="H1554" s="53"/>
      <c r="I1554" s="53"/>
      <c r="J1554" s="53"/>
      <c r="K1554" s="53"/>
      <c r="L1554" s="53"/>
      <c r="M1554" s="53"/>
    </row>
    <row r="1555" spans="2:13">
      <c r="B1555" s="53"/>
      <c r="C1555" s="53"/>
      <c r="D1555" s="53"/>
      <c r="E1555" s="53"/>
      <c r="F1555" s="53"/>
      <c r="G1555" s="53"/>
      <c r="H1555" s="53"/>
      <c r="I1555" s="53"/>
      <c r="J1555" s="53"/>
      <c r="K1555" s="53"/>
      <c r="L1555" s="53"/>
      <c r="M1555" s="53"/>
    </row>
    <row r="1556" spans="2:13">
      <c r="B1556" s="53"/>
      <c r="C1556" s="53"/>
      <c r="D1556" s="53"/>
      <c r="E1556" s="53"/>
      <c r="F1556" s="53"/>
      <c r="G1556" s="53"/>
      <c r="H1556" s="53"/>
      <c r="I1556" s="53"/>
      <c r="J1556" s="53"/>
      <c r="K1556" s="53"/>
      <c r="L1556" s="53"/>
      <c r="M1556" s="53"/>
    </row>
    <row r="1557" spans="2:13">
      <c r="B1557" s="53"/>
      <c r="C1557" s="53"/>
      <c r="D1557" s="53"/>
      <c r="E1557" s="53"/>
      <c r="F1557" s="53"/>
      <c r="G1557" s="53"/>
      <c r="H1557" s="53"/>
      <c r="I1557" s="53"/>
      <c r="J1557" s="53"/>
      <c r="K1557" s="53"/>
      <c r="L1557" s="53"/>
      <c r="M1557" s="53"/>
    </row>
    <row r="1558" spans="2:13">
      <c r="B1558" s="53"/>
      <c r="C1558" s="53"/>
      <c r="D1558" s="53"/>
      <c r="E1558" s="53"/>
      <c r="F1558" s="53"/>
      <c r="G1558" s="53"/>
      <c r="H1558" s="53"/>
      <c r="I1558" s="53"/>
      <c r="J1558" s="53"/>
      <c r="K1558" s="53"/>
      <c r="L1558" s="53"/>
      <c r="M1558" s="53"/>
    </row>
    <row r="1559" spans="2:13">
      <c r="B1559" s="53"/>
      <c r="C1559" s="53"/>
      <c r="D1559" s="53"/>
      <c r="E1559" s="53"/>
      <c r="F1559" s="53"/>
      <c r="G1559" s="53"/>
      <c r="H1559" s="53"/>
      <c r="I1559" s="53"/>
      <c r="J1559" s="53"/>
      <c r="K1559" s="53"/>
      <c r="L1559" s="53"/>
      <c r="M1559" s="53"/>
    </row>
    <row r="1560" spans="2:13">
      <c r="B1560" s="53"/>
      <c r="C1560" s="53"/>
      <c r="D1560" s="53"/>
      <c r="E1560" s="53"/>
      <c r="F1560" s="53"/>
      <c r="G1560" s="53"/>
      <c r="H1560" s="53"/>
      <c r="I1560" s="53"/>
      <c r="J1560" s="53"/>
      <c r="K1560" s="53"/>
      <c r="L1560" s="53"/>
      <c r="M1560" s="53"/>
    </row>
    <row r="1561" spans="2:13">
      <c r="B1561" s="53"/>
      <c r="C1561" s="53"/>
      <c r="D1561" s="53"/>
      <c r="E1561" s="53"/>
      <c r="F1561" s="53"/>
      <c r="G1561" s="53"/>
      <c r="H1561" s="53"/>
      <c r="I1561" s="53"/>
      <c r="J1561" s="53"/>
      <c r="K1561" s="53"/>
      <c r="L1561" s="53"/>
      <c r="M1561" s="53"/>
    </row>
    <row r="1562" spans="2:13">
      <c r="B1562" s="53"/>
      <c r="C1562" s="53"/>
      <c r="D1562" s="53"/>
      <c r="E1562" s="53"/>
      <c r="F1562" s="53"/>
      <c r="G1562" s="53"/>
      <c r="H1562" s="53"/>
      <c r="I1562" s="53"/>
      <c r="J1562" s="53"/>
      <c r="K1562" s="53"/>
      <c r="L1562" s="53"/>
      <c r="M1562" s="53"/>
    </row>
    <row r="1563" spans="2:13">
      <c r="B1563" s="53"/>
      <c r="C1563" s="53"/>
      <c r="D1563" s="53"/>
      <c r="E1563" s="53"/>
      <c r="F1563" s="53"/>
      <c r="G1563" s="53"/>
      <c r="H1563" s="53"/>
      <c r="I1563" s="53"/>
      <c r="J1563" s="53"/>
      <c r="K1563" s="53"/>
      <c r="L1563" s="53"/>
      <c r="M1563" s="53"/>
    </row>
    <row r="1564" spans="2:13">
      <c r="B1564" s="53"/>
      <c r="C1564" s="53"/>
      <c r="D1564" s="53"/>
      <c r="E1564" s="53"/>
      <c r="F1564" s="53"/>
      <c r="G1564" s="53"/>
      <c r="H1564" s="53"/>
      <c r="I1564" s="53"/>
      <c r="J1564" s="53"/>
      <c r="K1564" s="53"/>
      <c r="L1564" s="53"/>
      <c r="M1564" s="53"/>
    </row>
    <row r="1565" spans="2:13">
      <c r="B1565" s="53"/>
      <c r="C1565" s="53"/>
      <c r="D1565" s="53"/>
      <c r="E1565" s="53"/>
      <c r="F1565" s="53"/>
      <c r="G1565" s="53"/>
      <c r="H1565" s="53"/>
      <c r="I1565" s="53"/>
      <c r="J1565" s="53"/>
      <c r="K1565" s="53"/>
      <c r="L1565" s="53"/>
      <c r="M1565" s="53"/>
    </row>
    <row r="1566" spans="2:13">
      <c r="B1566" s="53"/>
      <c r="C1566" s="53"/>
      <c r="D1566" s="53"/>
      <c r="E1566" s="53"/>
      <c r="F1566" s="53"/>
      <c r="G1566" s="53"/>
      <c r="H1566" s="53"/>
      <c r="I1566" s="53"/>
      <c r="J1566" s="53"/>
      <c r="K1566" s="53"/>
      <c r="L1566" s="53"/>
      <c r="M1566" s="53"/>
    </row>
    <row r="1567" spans="2:13">
      <c r="B1567" s="53"/>
      <c r="C1567" s="53"/>
      <c r="D1567" s="53"/>
      <c r="E1567" s="53"/>
      <c r="F1567" s="53"/>
      <c r="G1567" s="53"/>
      <c r="H1567" s="53"/>
      <c r="I1567" s="53"/>
      <c r="J1567" s="53"/>
      <c r="K1567" s="53"/>
      <c r="L1567" s="53"/>
      <c r="M1567" s="53"/>
    </row>
    <row r="1568" spans="2:13">
      <c r="B1568" s="53"/>
      <c r="C1568" s="53"/>
      <c r="D1568" s="53"/>
      <c r="E1568" s="53"/>
      <c r="F1568" s="53"/>
      <c r="G1568" s="53"/>
      <c r="H1568" s="53"/>
      <c r="I1568" s="53"/>
      <c r="J1568" s="53"/>
      <c r="K1568" s="53"/>
      <c r="L1568" s="53"/>
      <c r="M1568" s="53"/>
    </row>
    <row r="1569" spans="2:13">
      <c r="B1569" s="53"/>
      <c r="C1569" s="53"/>
      <c r="D1569" s="53"/>
      <c r="E1569" s="53"/>
      <c r="F1569" s="53"/>
      <c r="G1569" s="53"/>
      <c r="H1569" s="53"/>
      <c r="I1569" s="53"/>
      <c r="J1569" s="53"/>
      <c r="K1569" s="53"/>
      <c r="L1569" s="53"/>
      <c r="M1569" s="53"/>
    </row>
    <row r="1570" spans="2:13">
      <c r="B1570" s="53"/>
      <c r="C1570" s="53"/>
      <c r="D1570" s="53"/>
      <c r="E1570" s="53"/>
      <c r="F1570" s="53"/>
      <c r="G1570" s="53"/>
      <c r="H1570" s="53"/>
      <c r="I1570" s="53"/>
      <c r="J1570" s="53"/>
      <c r="K1570" s="53"/>
      <c r="L1570" s="53"/>
      <c r="M1570" s="53"/>
    </row>
    <row r="1571" spans="2:13">
      <c r="B1571" s="53"/>
      <c r="C1571" s="53"/>
      <c r="D1571" s="53"/>
      <c r="E1571" s="53"/>
      <c r="F1571" s="53"/>
      <c r="G1571" s="53"/>
      <c r="H1571" s="53"/>
      <c r="I1571" s="53"/>
      <c r="J1571" s="53"/>
      <c r="K1571" s="53"/>
      <c r="L1571" s="53"/>
      <c r="M1571" s="53"/>
    </row>
    <row r="1572" spans="2:13">
      <c r="B1572" s="53"/>
      <c r="C1572" s="53"/>
      <c r="D1572" s="53"/>
      <c r="E1572" s="53"/>
      <c r="F1572" s="53"/>
      <c r="G1572" s="53"/>
      <c r="H1572" s="53"/>
      <c r="I1572" s="53"/>
      <c r="J1572" s="53"/>
      <c r="K1572" s="53"/>
      <c r="L1572" s="53"/>
      <c r="M1572" s="53"/>
    </row>
    <row r="1573" spans="2:13">
      <c r="B1573" s="53"/>
      <c r="C1573" s="53"/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</row>
    <row r="1574" spans="2:13">
      <c r="B1574" s="53"/>
      <c r="C1574" s="53"/>
      <c r="D1574" s="53"/>
      <c r="E1574" s="53"/>
      <c r="F1574" s="53"/>
      <c r="G1574" s="53"/>
      <c r="H1574" s="53"/>
      <c r="I1574" s="53"/>
      <c r="J1574" s="53"/>
      <c r="K1574" s="53"/>
      <c r="L1574" s="53"/>
      <c r="M1574" s="53"/>
    </row>
    <row r="1575" spans="2:13">
      <c r="B1575" s="53"/>
      <c r="C1575" s="53"/>
      <c r="D1575" s="53"/>
      <c r="E1575" s="53"/>
      <c r="F1575" s="53"/>
      <c r="G1575" s="53"/>
      <c r="H1575" s="53"/>
      <c r="I1575" s="53"/>
      <c r="J1575" s="53"/>
      <c r="K1575" s="53"/>
      <c r="L1575" s="53"/>
      <c r="M1575" s="53"/>
    </row>
    <row r="1576" spans="2:13">
      <c r="B1576" s="53"/>
      <c r="C1576" s="53"/>
      <c r="D1576" s="53"/>
      <c r="E1576" s="53"/>
      <c r="F1576" s="53"/>
      <c r="G1576" s="53"/>
      <c r="H1576" s="53"/>
      <c r="I1576" s="53"/>
      <c r="J1576" s="53"/>
      <c r="K1576" s="53"/>
      <c r="L1576" s="53"/>
      <c r="M1576" s="53"/>
    </row>
    <row r="1577" spans="2:13">
      <c r="B1577" s="53"/>
      <c r="C1577" s="53"/>
      <c r="D1577" s="53"/>
      <c r="E1577" s="53"/>
      <c r="F1577" s="53"/>
      <c r="G1577" s="53"/>
      <c r="H1577" s="53"/>
      <c r="I1577" s="53"/>
      <c r="J1577" s="53"/>
      <c r="K1577" s="53"/>
      <c r="L1577" s="53"/>
      <c r="M1577" s="53"/>
    </row>
    <row r="1578" spans="2:13"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</row>
    <row r="1579" spans="2:13">
      <c r="B1579" s="53"/>
      <c r="C1579" s="53"/>
      <c r="D1579" s="53"/>
      <c r="E1579" s="53"/>
      <c r="F1579" s="53"/>
      <c r="G1579" s="53"/>
      <c r="H1579" s="53"/>
      <c r="I1579" s="53"/>
      <c r="J1579" s="53"/>
      <c r="K1579" s="53"/>
      <c r="L1579" s="53"/>
      <c r="M1579" s="53"/>
    </row>
    <row r="1580" spans="2:13">
      <c r="B1580" s="53"/>
      <c r="C1580" s="53"/>
      <c r="D1580" s="53"/>
      <c r="E1580" s="53"/>
      <c r="F1580" s="53"/>
      <c r="G1580" s="53"/>
      <c r="H1580" s="53"/>
      <c r="I1580" s="53"/>
      <c r="J1580" s="53"/>
      <c r="K1580" s="53"/>
      <c r="L1580" s="53"/>
      <c r="M1580" s="53"/>
    </row>
    <row r="1581" spans="2:13">
      <c r="B1581" s="53"/>
      <c r="C1581" s="53"/>
      <c r="D1581" s="53"/>
      <c r="E1581" s="53"/>
      <c r="F1581" s="53"/>
      <c r="G1581" s="53"/>
      <c r="H1581" s="53"/>
      <c r="I1581" s="53"/>
      <c r="J1581" s="53"/>
      <c r="K1581" s="53"/>
      <c r="L1581" s="53"/>
      <c r="M1581" s="53"/>
    </row>
    <row r="1582" spans="2:13">
      <c r="B1582" s="53"/>
      <c r="C1582" s="53"/>
      <c r="D1582" s="53"/>
      <c r="E1582" s="53"/>
      <c r="F1582" s="53"/>
      <c r="G1582" s="53"/>
      <c r="H1582" s="53"/>
      <c r="I1582" s="53"/>
      <c r="J1582" s="53"/>
      <c r="K1582" s="53"/>
      <c r="L1582" s="53"/>
      <c r="M1582" s="53"/>
    </row>
    <row r="1583" spans="2:13">
      <c r="B1583" s="53"/>
      <c r="C1583" s="53"/>
      <c r="D1583" s="53"/>
      <c r="E1583" s="53"/>
      <c r="F1583" s="53"/>
      <c r="G1583" s="53"/>
      <c r="H1583" s="53"/>
      <c r="I1583" s="53"/>
      <c r="J1583" s="53"/>
      <c r="K1583" s="53"/>
      <c r="L1583" s="53"/>
      <c r="M1583" s="53"/>
    </row>
    <row r="1584" spans="2:13">
      <c r="B1584" s="53"/>
      <c r="C1584" s="53"/>
      <c r="D1584" s="53"/>
      <c r="E1584" s="53"/>
      <c r="F1584" s="53"/>
      <c r="G1584" s="53"/>
      <c r="H1584" s="53"/>
      <c r="I1584" s="53"/>
      <c r="J1584" s="53"/>
      <c r="K1584" s="53"/>
      <c r="L1584" s="53"/>
      <c r="M1584" s="53"/>
    </row>
    <row r="1585" spans="2:13">
      <c r="B1585" s="53"/>
      <c r="C1585" s="53"/>
      <c r="D1585" s="53"/>
      <c r="E1585" s="53"/>
      <c r="F1585" s="53"/>
      <c r="G1585" s="53"/>
      <c r="H1585" s="53"/>
      <c r="I1585" s="53"/>
      <c r="J1585" s="53"/>
      <c r="K1585" s="53"/>
      <c r="L1585" s="53"/>
      <c r="M1585" s="53"/>
    </row>
    <row r="1586" spans="2:13">
      <c r="B1586" s="53"/>
      <c r="C1586" s="53"/>
      <c r="D1586" s="53"/>
      <c r="E1586" s="53"/>
      <c r="F1586" s="53"/>
      <c r="G1586" s="53"/>
      <c r="H1586" s="53"/>
      <c r="I1586" s="53"/>
      <c r="J1586" s="53"/>
      <c r="K1586" s="53"/>
      <c r="L1586" s="53"/>
      <c r="M1586" s="53"/>
    </row>
    <row r="1587" spans="2:13">
      <c r="B1587" s="53"/>
      <c r="C1587" s="53"/>
      <c r="D1587" s="53"/>
      <c r="E1587" s="53"/>
      <c r="F1587" s="53"/>
      <c r="G1587" s="53"/>
      <c r="H1587" s="53"/>
      <c r="I1587" s="53"/>
      <c r="J1587" s="53"/>
      <c r="K1587" s="53"/>
      <c r="L1587" s="53"/>
      <c r="M1587" s="53"/>
    </row>
    <row r="1588" spans="2:13">
      <c r="B1588" s="53"/>
      <c r="C1588" s="53"/>
      <c r="D1588" s="53"/>
      <c r="E1588" s="53"/>
      <c r="F1588" s="53"/>
      <c r="G1588" s="53"/>
      <c r="H1588" s="53"/>
      <c r="I1588" s="53"/>
      <c r="J1588" s="53"/>
      <c r="K1588" s="53"/>
      <c r="L1588" s="53"/>
      <c r="M1588" s="53"/>
    </row>
    <row r="1589" spans="2:13">
      <c r="B1589" s="53"/>
      <c r="C1589" s="53"/>
      <c r="D1589" s="53"/>
      <c r="E1589" s="53"/>
      <c r="F1589" s="53"/>
      <c r="G1589" s="53"/>
      <c r="H1589" s="53"/>
      <c r="I1589" s="53"/>
      <c r="J1589" s="53"/>
      <c r="K1589" s="53"/>
      <c r="L1589" s="53"/>
      <c r="M1589" s="53"/>
    </row>
    <row r="1590" spans="2:13">
      <c r="B1590" s="53"/>
      <c r="C1590" s="53"/>
      <c r="D1590" s="53"/>
      <c r="E1590" s="53"/>
      <c r="F1590" s="53"/>
      <c r="G1590" s="53"/>
      <c r="H1590" s="53"/>
      <c r="I1590" s="53"/>
      <c r="J1590" s="53"/>
      <c r="K1590" s="53"/>
      <c r="L1590" s="53"/>
      <c r="M1590" s="53"/>
    </row>
    <row r="1591" spans="2:13">
      <c r="B1591" s="53"/>
      <c r="C1591" s="53"/>
      <c r="D1591" s="53"/>
      <c r="E1591" s="53"/>
      <c r="F1591" s="53"/>
      <c r="G1591" s="53"/>
      <c r="H1591" s="53"/>
      <c r="I1591" s="53"/>
      <c r="J1591" s="53"/>
      <c r="K1591" s="53"/>
      <c r="L1591" s="53"/>
      <c r="M1591" s="53"/>
    </row>
    <row r="1592" spans="2:13">
      <c r="B1592" s="53"/>
      <c r="C1592" s="53"/>
      <c r="D1592" s="53"/>
      <c r="E1592" s="53"/>
      <c r="F1592" s="53"/>
      <c r="G1592" s="53"/>
      <c r="H1592" s="53"/>
      <c r="I1592" s="53"/>
      <c r="J1592" s="53"/>
      <c r="K1592" s="53"/>
      <c r="L1592" s="53"/>
      <c r="M1592" s="53"/>
    </row>
    <row r="1593" spans="2:13">
      <c r="B1593" s="53"/>
      <c r="C1593" s="53"/>
      <c r="D1593" s="53"/>
      <c r="E1593" s="53"/>
      <c r="F1593" s="53"/>
      <c r="G1593" s="53"/>
      <c r="H1593" s="53"/>
      <c r="I1593" s="53"/>
      <c r="J1593" s="53"/>
      <c r="K1593" s="53"/>
      <c r="L1593" s="53"/>
      <c r="M1593" s="53"/>
    </row>
    <row r="1594" spans="2:13">
      <c r="B1594" s="53"/>
      <c r="C1594" s="53"/>
      <c r="D1594" s="53"/>
      <c r="E1594" s="53"/>
      <c r="F1594" s="53"/>
      <c r="G1594" s="53"/>
      <c r="H1594" s="53"/>
      <c r="I1594" s="53"/>
      <c r="J1594" s="53"/>
      <c r="K1594" s="53"/>
      <c r="L1594" s="53"/>
      <c r="M1594" s="53"/>
    </row>
    <row r="1595" spans="2:13">
      <c r="B1595" s="53"/>
      <c r="C1595" s="53"/>
      <c r="D1595" s="53"/>
      <c r="E1595" s="53"/>
      <c r="F1595" s="53"/>
      <c r="G1595" s="53"/>
      <c r="H1595" s="53"/>
      <c r="I1595" s="53"/>
      <c r="J1595" s="53"/>
      <c r="K1595" s="53"/>
      <c r="L1595" s="53"/>
      <c r="M1595" s="53"/>
    </row>
    <row r="1596" spans="2:13">
      <c r="B1596" s="53"/>
      <c r="C1596" s="53"/>
      <c r="D1596" s="53"/>
      <c r="E1596" s="53"/>
      <c r="F1596" s="53"/>
      <c r="G1596" s="53"/>
      <c r="H1596" s="53"/>
      <c r="I1596" s="53"/>
      <c r="J1596" s="53"/>
      <c r="K1596" s="53"/>
      <c r="L1596" s="53"/>
      <c r="M1596" s="53"/>
    </row>
    <row r="1597" spans="2:13">
      <c r="B1597" s="53"/>
      <c r="C1597" s="53"/>
      <c r="D1597" s="53"/>
      <c r="E1597" s="53"/>
      <c r="F1597" s="53"/>
      <c r="G1597" s="53"/>
      <c r="H1597" s="53"/>
      <c r="I1597" s="53"/>
      <c r="J1597" s="53"/>
      <c r="K1597" s="53"/>
      <c r="L1597" s="53"/>
      <c r="M1597" s="53"/>
    </row>
    <row r="1598" spans="2:13">
      <c r="B1598" s="53"/>
      <c r="C1598" s="53"/>
      <c r="D1598" s="53"/>
      <c r="E1598" s="53"/>
      <c r="F1598" s="53"/>
      <c r="G1598" s="53"/>
      <c r="H1598" s="53"/>
      <c r="I1598" s="53"/>
      <c r="J1598" s="53"/>
      <c r="K1598" s="53"/>
      <c r="L1598" s="53"/>
      <c r="M1598" s="53"/>
    </row>
    <row r="1599" spans="2:13">
      <c r="B1599" s="53"/>
      <c r="C1599" s="53"/>
      <c r="D1599" s="53"/>
      <c r="E1599" s="53"/>
      <c r="F1599" s="53"/>
      <c r="G1599" s="53"/>
      <c r="H1599" s="53"/>
      <c r="I1599" s="53"/>
      <c r="J1599" s="53"/>
      <c r="K1599" s="53"/>
      <c r="L1599" s="53"/>
      <c r="M1599" s="53"/>
    </row>
    <row r="1600" spans="2:13">
      <c r="B1600" s="53"/>
      <c r="C1600" s="53"/>
      <c r="D1600" s="53"/>
      <c r="E1600" s="53"/>
      <c r="F1600" s="53"/>
      <c r="G1600" s="53"/>
      <c r="H1600" s="53"/>
      <c r="I1600" s="53"/>
      <c r="J1600" s="53"/>
      <c r="K1600" s="53"/>
      <c r="L1600" s="53"/>
      <c r="M1600" s="53"/>
    </row>
    <row r="1601" spans="2:13">
      <c r="B1601" s="53"/>
      <c r="C1601" s="53"/>
      <c r="D1601" s="53"/>
      <c r="E1601" s="53"/>
      <c r="F1601" s="53"/>
      <c r="G1601" s="53"/>
      <c r="H1601" s="53"/>
      <c r="I1601" s="53"/>
      <c r="J1601" s="53"/>
      <c r="K1601" s="53"/>
      <c r="L1601" s="53"/>
      <c r="M1601" s="53"/>
    </row>
    <row r="1602" spans="2:13">
      <c r="B1602" s="53"/>
      <c r="C1602" s="53"/>
      <c r="D1602" s="53"/>
      <c r="E1602" s="53"/>
      <c r="F1602" s="53"/>
      <c r="G1602" s="53"/>
      <c r="H1602" s="53"/>
      <c r="I1602" s="53"/>
      <c r="J1602" s="53"/>
      <c r="K1602" s="53"/>
      <c r="L1602" s="53"/>
      <c r="M1602" s="53"/>
    </row>
    <row r="1603" spans="2:13">
      <c r="B1603" s="53"/>
      <c r="C1603" s="53"/>
      <c r="D1603" s="53"/>
      <c r="E1603" s="53"/>
      <c r="F1603" s="53"/>
      <c r="G1603" s="53"/>
      <c r="H1603" s="53"/>
      <c r="I1603" s="53"/>
      <c r="J1603" s="53"/>
      <c r="K1603" s="53"/>
      <c r="L1603" s="53"/>
      <c r="M1603" s="53"/>
    </row>
    <row r="1604" spans="2:13">
      <c r="B1604" s="53"/>
      <c r="C1604" s="53"/>
      <c r="D1604" s="53"/>
      <c r="E1604" s="53"/>
      <c r="F1604" s="53"/>
      <c r="G1604" s="53"/>
      <c r="H1604" s="53"/>
      <c r="I1604" s="53"/>
      <c r="J1604" s="53"/>
      <c r="K1604" s="53"/>
      <c r="L1604" s="53"/>
      <c r="M1604" s="53"/>
    </row>
    <row r="1605" spans="2:13">
      <c r="B1605" s="53"/>
      <c r="C1605" s="53"/>
      <c r="D1605" s="53"/>
      <c r="E1605" s="53"/>
      <c r="F1605" s="53"/>
      <c r="G1605" s="53"/>
      <c r="H1605" s="53"/>
      <c r="I1605" s="53"/>
      <c r="J1605" s="53"/>
      <c r="K1605" s="53"/>
      <c r="L1605" s="53"/>
      <c r="M1605" s="53"/>
    </row>
    <row r="1606" spans="2:13">
      <c r="B1606" s="53"/>
      <c r="C1606" s="53"/>
      <c r="D1606" s="53"/>
      <c r="E1606" s="53"/>
      <c r="F1606" s="53"/>
      <c r="G1606" s="53"/>
      <c r="H1606" s="53"/>
      <c r="I1606" s="53"/>
      <c r="J1606" s="53"/>
      <c r="K1606" s="53"/>
      <c r="L1606" s="53"/>
      <c r="M1606" s="53"/>
    </row>
    <row r="1607" spans="2:13">
      <c r="B1607" s="53"/>
      <c r="C1607" s="53"/>
      <c r="D1607" s="53"/>
      <c r="E1607" s="53"/>
      <c r="F1607" s="53"/>
      <c r="G1607" s="53"/>
      <c r="H1607" s="53"/>
      <c r="I1607" s="53"/>
      <c r="J1607" s="53"/>
      <c r="K1607" s="53"/>
      <c r="L1607" s="53"/>
      <c r="M1607" s="53"/>
    </row>
    <row r="1608" spans="2:13">
      <c r="B1608" s="53"/>
      <c r="C1608" s="53"/>
      <c r="D1608" s="53"/>
      <c r="E1608" s="53"/>
      <c r="F1608" s="53"/>
      <c r="G1608" s="53"/>
      <c r="H1608" s="53"/>
      <c r="I1608" s="53"/>
      <c r="J1608" s="53"/>
      <c r="K1608" s="53"/>
      <c r="L1608" s="53"/>
      <c r="M1608" s="53"/>
    </row>
    <row r="1609" spans="2:13">
      <c r="B1609" s="53"/>
      <c r="C1609" s="53"/>
      <c r="D1609" s="53"/>
      <c r="E1609" s="53"/>
      <c r="F1609" s="53"/>
      <c r="G1609" s="53"/>
      <c r="H1609" s="53"/>
      <c r="I1609" s="53"/>
      <c r="J1609" s="53"/>
      <c r="K1609" s="53"/>
      <c r="L1609" s="53"/>
      <c r="M1609" s="53"/>
    </row>
    <row r="1610" spans="2:13">
      <c r="B1610" s="53"/>
      <c r="C1610" s="53"/>
      <c r="D1610" s="53"/>
      <c r="E1610" s="53"/>
      <c r="F1610" s="53"/>
      <c r="G1610" s="53"/>
      <c r="H1610" s="53"/>
      <c r="I1610" s="53"/>
      <c r="J1610" s="53"/>
      <c r="K1610" s="53"/>
      <c r="L1610" s="53"/>
      <c r="M1610" s="53"/>
    </row>
    <row r="1611" spans="2:13">
      <c r="B1611" s="53"/>
      <c r="C1611" s="53"/>
      <c r="D1611" s="53"/>
      <c r="E1611" s="53"/>
      <c r="F1611" s="53"/>
      <c r="G1611" s="53"/>
      <c r="H1611" s="53"/>
      <c r="I1611" s="53"/>
      <c r="J1611" s="53"/>
      <c r="K1611" s="53"/>
      <c r="L1611" s="53"/>
      <c r="M1611" s="53"/>
    </row>
    <row r="1612" spans="2:13">
      <c r="B1612" s="53"/>
      <c r="C1612" s="53"/>
      <c r="D1612" s="53"/>
      <c r="E1612" s="53"/>
      <c r="F1612" s="53"/>
      <c r="G1612" s="53"/>
      <c r="H1612" s="53"/>
      <c r="I1612" s="53"/>
      <c r="J1612" s="53"/>
      <c r="K1612" s="53"/>
      <c r="L1612" s="53"/>
      <c r="M1612" s="53"/>
    </row>
    <row r="1613" spans="2:13">
      <c r="B1613" s="53"/>
      <c r="C1613" s="53"/>
      <c r="D1613" s="53"/>
      <c r="E1613" s="53"/>
      <c r="F1613" s="53"/>
      <c r="G1613" s="53"/>
      <c r="H1613" s="53"/>
      <c r="I1613" s="53"/>
      <c r="J1613" s="53"/>
      <c r="K1613" s="53"/>
      <c r="L1613" s="53"/>
      <c r="M1613" s="53"/>
    </row>
    <row r="1614" spans="2:13">
      <c r="B1614" s="53"/>
      <c r="C1614" s="53"/>
      <c r="D1614" s="53"/>
      <c r="E1614" s="53"/>
      <c r="F1614" s="53"/>
      <c r="G1614" s="53"/>
      <c r="H1614" s="53"/>
      <c r="I1614" s="53"/>
      <c r="J1614" s="53"/>
      <c r="K1614" s="53"/>
      <c r="L1614" s="53"/>
      <c r="M1614" s="53"/>
    </row>
    <row r="1615" spans="2:13">
      <c r="B1615" s="53"/>
      <c r="C1615" s="53"/>
      <c r="D1615" s="53"/>
      <c r="E1615" s="53"/>
      <c r="F1615" s="53"/>
      <c r="G1615" s="53"/>
      <c r="H1615" s="53"/>
      <c r="I1615" s="53"/>
      <c r="J1615" s="53"/>
      <c r="K1615" s="53"/>
      <c r="L1615" s="53"/>
      <c r="M1615" s="53"/>
    </row>
    <row r="1616" spans="2:13">
      <c r="B1616" s="53"/>
      <c r="C1616" s="53"/>
      <c r="D1616" s="53"/>
      <c r="E1616" s="53"/>
      <c r="F1616" s="53"/>
      <c r="G1616" s="53"/>
      <c r="H1616" s="53"/>
      <c r="I1616" s="53"/>
      <c r="J1616" s="53"/>
      <c r="K1616" s="53"/>
      <c r="L1616" s="53"/>
      <c r="M1616" s="53"/>
    </row>
    <row r="1617" spans="2:13">
      <c r="B1617" s="53"/>
      <c r="C1617" s="53"/>
      <c r="D1617" s="53"/>
      <c r="E1617" s="53"/>
      <c r="F1617" s="53"/>
      <c r="G1617" s="53"/>
      <c r="H1617" s="53"/>
      <c r="I1617" s="53"/>
      <c r="J1617" s="53"/>
      <c r="K1617" s="53"/>
      <c r="L1617" s="53"/>
      <c r="M1617" s="53"/>
    </row>
    <row r="1618" spans="2:13">
      <c r="B1618" s="53"/>
      <c r="C1618" s="53"/>
      <c r="D1618" s="53"/>
      <c r="E1618" s="53"/>
      <c r="F1618" s="53"/>
      <c r="G1618" s="53"/>
      <c r="H1618" s="53"/>
      <c r="I1618" s="53"/>
      <c r="J1618" s="53"/>
      <c r="K1618" s="53"/>
      <c r="L1618" s="53"/>
      <c r="M1618" s="53"/>
    </row>
    <row r="1619" spans="2:13">
      <c r="B1619" s="53"/>
      <c r="C1619" s="53"/>
      <c r="D1619" s="53"/>
      <c r="E1619" s="53"/>
      <c r="F1619" s="53"/>
      <c r="G1619" s="53"/>
      <c r="H1619" s="53"/>
      <c r="I1619" s="53"/>
      <c r="J1619" s="53"/>
      <c r="K1619" s="53"/>
      <c r="L1619" s="53"/>
      <c r="M1619" s="53"/>
    </row>
    <row r="1620" spans="2:13">
      <c r="B1620" s="53"/>
      <c r="C1620" s="53"/>
      <c r="D1620" s="53"/>
      <c r="E1620" s="53"/>
      <c r="F1620" s="53"/>
      <c r="G1620" s="53"/>
      <c r="H1620" s="53"/>
      <c r="I1620" s="53"/>
      <c r="J1620" s="53"/>
      <c r="K1620" s="53"/>
      <c r="L1620" s="53"/>
      <c r="M1620" s="53"/>
    </row>
    <row r="1621" spans="2:13">
      <c r="B1621" s="53"/>
      <c r="C1621" s="53"/>
      <c r="D1621" s="53"/>
      <c r="E1621" s="53"/>
      <c r="F1621" s="53"/>
      <c r="G1621" s="53"/>
      <c r="H1621" s="53"/>
      <c r="I1621" s="53"/>
      <c r="J1621" s="53"/>
      <c r="K1621" s="53"/>
      <c r="L1621" s="53"/>
      <c r="M1621" s="53"/>
    </row>
    <row r="1622" spans="2:13">
      <c r="B1622" s="53"/>
      <c r="C1622" s="53"/>
      <c r="D1622" s="53"/>
      <c r="E1622" s="53"/>
      <c r="F1622" s="53"/>
      <c r="G1622" s="53"/>
      <c r="H1622" s="53"/>
      <c r="I1622" s="53"/>
      <c r="J1622" s="53"/>
      <c r="K1622" s="53"/>
      <c r="L1622" s="53"/>
      <c r="M1622" s="53"/>
    </row>
    <row r="1623" spans="2:13">
      <c r="B1623" s="53"/>
      <c r="C1623" s="53"/>
      <c r="D1623" s="53"/>
      <c r="E1623" s="53"/>
      <c r="F1623" s="53"/>
      <c r="G1623" s="53"/>
      <c r="H1623" s="53"/>
      <c r="I1623" s="53"/>
      <c r="J1623" s="53"/>
      <c r="K1623" s="53"/>
      <c r="L1623" s="53"/>
      <c r="M1623" s="53"/>
    </row>
    <row r="1624" spans="2:13">
      <c r="B1624" s="53"/>
      <c r="C1624" s="53"/>
      <c r="D1624" s="53"/>
      <c r="E1624" s="53"/>
      <c r="F1624" s="53"/>
      <c r="G1624" s="53"/>
      <c r="H1624" s="53"/>
      <c r="I1624" s="53"/>
      <c r="J1624" s="53"/>
      <c r="K1624" s="53"/>
      <c r="L1624" s="53"/>
      <c r="M1624" s="53"/>
    </row>
    <row r="1625" spans="2:13">
      <c r="B1625" s="53"/>
      <c r="C1625" s="53"/>
      <c r="D1625" s="53"/>
      <c r="E1625" s="53"/>
      <c r="F1625" s="53"/>
      <c r="G1625" s="53"/>
      <c r="H1625" s="53"/>
      <c r="I1625" s="53"/>
      <c r="J1625" s="53"/>
      <c r="K1625" s="53"/>
      <c r="L1625" s="53"/>
      <c r="M1625" s="53"/>
    </row>
    <row r="1626" spans="2:13">
      <c r="B1626" s="53"/>
      <c r="C1626" s="53"/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</row>
    <row r="1627" spans="2:13">
      <c r="B1627" s="53"/>
      <c r="C1627" s="53"/>
      <c r="D1627" s="53"/>
      <c r="E1627" s="53"/>
      <c r="F1627" s="53"/>
      <c r="G1627" s="53"/>
      <c r="H1627" s="53"/>
      <c r="I1627" s="53"/>
      <c r="J1627" s="53"/>
      <c r="K1627" s="53"/>
      <c r="L1627" s="53"/>
      <c r="M1627" s="53"/>
    </row>
    <row r="1628" spans="2:13">
      <c r="B1628" s="53"/>
      <c r="C1628" s="53"/>
      <c r="D1628" s="53"/>
      <c r="E1628" s="53"/>
      <c r="F1628" s="53"/>
      <c r="G1628" s="53"/>
      <c r="H1628" s="53"/>
      <c r="I1628" s="53"/>
      <c r="J1628" s="53"/>
      <c r="K1628" s="53"/>
      <c r="L1628" s="53"/>
      <c r="M1628" s="53"/>
    </row>
    <row r="1629" spans="2:13">
      <c r="B1629" s="53"/>
      <c r="C1629" s="53"/>
      <c r="D1629" s="53"/>
      <c r="E1629" s="53"/>
      <c r="F1629" s="53"/>
      <c r="G1629" s="53"/>
      <c r="H1629" s="53"/>
      <c r="I1629" s="53"/>
      <c r="J1629" s="53"/>
      <c r="K1629" s="53"/>
      <c r="L1629" s="53"/>
      <c r="M1629" s="53"/>
    </row>
    <row r="1630" spans="2:13">
      <c r="B1630" s="53"/>
      <c r="C1630" s="53"/>
      <c r="D1630" s="53"/>
      <c r="E1630" s="53"/>
      <c r="F1630" s="53"/>
      <c r="G1630" s="53"/>
      <c r="H1630" s="53"/>
      <c r="I1630" s="53"/>
      <c r="J1630" s="53"/>
      <c r="K1630" s="53"/>
      <c r="L1630" s="53"/>
      <c r="M1630" s="53"/>
    </row>
    <row r="1631" spans="2:13"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</row>
    <row r="1632" spans="2:13">
      <c r="B1632" s="53"/>
      <c r="C1632" s="53"/>
      <c r="D1632" s="53"/>
      <c r="E1632" s="53"/>
      <c r="F1632" s="53"/>
      <c r="G1632" s="53"/>
      <c r="H1632" s="53"/>
      <c r="I1632" s="53"/>
      <c r="J1632" s="53"/>
      <c r="K1632" s="53"/>
      <c r="L1632" s="53"/>
      <c r="M1632" s="53"/>
    </row>
    <row r="1633" spans="2:13">
      <c r="B1633" s="53"/>
      <c r="C1633" s="53"/>
      <c r="D1633" s="53"/>
      <c r="E1633" s="53"/>
      <c r="F1633" s="53"/>
      <c r="G1633" s="53"/>
      <c r="H1633" s="53"/>
      <c r="I1633" s="53"/>
      <c r="J1633" s="53"/>
      <c r="K1633" s="53"/>
      <c r="L1633" s="53"/>
      <c r="M1633" s="53"/>
    </row>
    <row r="1634" spans="2:13">
      <c r="B1634" s="53"/>
      <c r="C1634" s="53"/>
      <c r="D1634" s="53"/>
      <c r="E1634" s="53"/>
      <c r="F1634" s="53"/>
      <c r="G1634" s="53"/>
      <c r="H1634" s="53"/>
      <c r="I1634" s="53"/>
      <c r="J1634" s="53"/>
      <c r="K1634" s="53"/>
      <c r="L1634" s="53"/>
      <c r="M1634" s="53"/>
    </row>
    <row r="1635" spans="2:13">
      <c r="B1635" s="53"/>
      <c r="C1635" s="53"/>
      <c r="D1635" s="53"/>
      <c r="E1635" s="53"/>
      <c r="F1635" s="53"/>
      <c r="G1635" s="53"/>
      <c r="H1635" s="53"/>
      <c r="I1635" s="53"/>
      <c r="J1635" s="53"/>
      <c r="K1635" s="53"/>
      <c r="L1635" s="53"/>
      <c r="M1635" s="53"/>
    </row>
    <row r="1636" spans="2:13">
      <c r="B1636" s="53"/>
      <c r="C1636" s="53"/>
      <c r="D1636" s="53"/>
      <c r="E1636" s="53"/>
      <c r="F1636" s="53"/>
      <c r="G1636" s="53"/>
      <c r="H1636" s="53"/>
      <c r="I1636" s="53"/>
      <c r="J1636" s="53"/>
      <c r="K1636" s="53"/>
      <c r="L1636" s="53"/>
      <c r="M1636" s="53"/>
    </row>
    <row r="1637" spans="2:13">
      <c r="B1637" s="53"/>
      <c r="C1637" s="53"/>
      <c r="D1637" s="53"/>
      <c r="E1637" s="53"/>
      <c r="F1637" s="53"/>
      <c r="G1637" s="53"/>
      <c r="H1637" s="53"/>
      <c r="I1637" s="53"/>
      <c r="J1637" s="53"/>
      <c r="K1637" s="53"/>
      <c r="L1637" s="53"/>
      <c r="M1637" s="53"/>
    </row>
    <row r="1638" spans="2:13">
      <c r="B1638" s="53"/>
      <c r="C1638" s="53"/>
      <c r="D1638" s="53"/>
      <c r="E1638" s="53"/>
      <c r="F1638" s="53"/>
      <c r="G1638" s="53"/>
      <c r="H1638" s="53"/>
      <c r="I1638" s="53"/>
      <c r="J1638" s="53"/>
      <c r="K1638" s="53"/>
      <c r="L1638" s="53"/>
      <c r="M1638" s="53"/>
    </row>
    <row r="1639" spans="2:13">
      <c r="B1639" s="53"/>
      <c r="C1639" s="53"/>
      <c r="D1639" s="53"/>
      <c r="E1639" s="53"/>
      <c r="F1639" s="53"/>
      <c r="G1639" s="53"/>
      <c r="H1639" s="53"/>
      <c r="I1639" s="53"/>
      <c r="J1639" s="53"/>
      <c r="K1639" s="53"/>
      <c r="L1639" s="53"/>
      <c r="M1639" s="53"/>
    </row>
    <row r="1640" spans="2:13">
      <c r="B1640" s="53"/>
      <c r="C1640" s="53"/>
      <c r="D1640" s="53"/>
      <c r="E1640" s="53"/>
      <c r="F1640" s="53"/>
      <c r="G1640" s="53"/>
      <c r="H1640" s="53"/>
      <c r="I1640" s="53"/>
      <c r="J1640" s="53"/>
      <c r="K1640" s="53"/>
      <c r="L1640" s="53"/>
      <c r="M1640" s="53"/>
    </row>
    <row r="1641" spans="2:13">
      <c r="B1641" s="53"/>
      <c r="C1641" s="53"/>
      <c r="D1641" s="53"/>
      <c r="E1641" s="53"/>
      <c r="F1641" s="53"/>
      <c r="G1641" s="53"/>
      <c r="H1641" s="53"/>
      <c r="I1641" s="53"/>
      <c r="J1641" s="53"/>
      <c r="K1641" s="53"/>
      <c r="L1641" s="53"/>
      <c r="M1641" s="53"/>
    </row>
    <row r="1642" spans="2:13">
      <c r="B1642" s="53"/>
      <c r="C1642" s="53"/>
      <c r="D1642" s="53"/>
      <c r="E1642" s="53"/>
      <c r="F1642" s="53"/>
      <c r="G1642" s="53"/>
      <c r="H1642" s="53"/>
      <c r="I1642" s="53"/>
      <c r="J1642" s="53"/>
      <c r="K1642" s="53"/>
      <c r="L1642" s="53"/>
      <c r="M1642" s="53"/>
    </row>
    <row r="1643" spans="2:13">
      <c r="B1643" s="53"/>
      <c r="C1643" s="53"/>
      <c r="D1643" s="53"/>
      <c r="E1643" s="53"/>
      <c r="F1643" s="53"/>
      <c r="G1643" s="53"/>
      <c r="H1643" s="53"/>
      <c r="I1643" s="53"/>
      <c r="J1643" s="53"/>
      <c r="K1643" s="53"/>
      <c r="L1643" s="53"/>
      <c r="M1643" s="53"/>
    </row>
    <row r="1644" spans="2:13">
      <c r="B1644" s="53"/>
      <c r="C1644" s="53"/>
      <c r="D1644" s="53"/>
      <c r="E1644" s="53"/>
      <c r="F1644" s="53"/>
      <c r="G1644" s="53"/>
      <c r="H1644" s="53"/>
      <c r="I1644" s="53"/>
      <c r="J1644" s="53"/>
      <c r="K1644" s="53"/>
      <c r="L1644" s="53"/>
      <c r="M1644" s="53"/>
    </row>
    <row r="1645" spans="2:13">
      <c r="B1645" s="53"/>
      <c r="C1645" s="53"/>
      <c r="D1645" s="53"/>
      <c r="E1645" s="53"/>
      <c r="F1645" s="53"/>
      <c r="G1645" s="53"/>
      <c r="H1645" s="53"/>
      <c r="I1645" s="53"/>
      <c r="J1645" s="53"/>
      <c r="K1645" s="53"/>
      <c r="L1645" s="53"/>
      <c r="M1645" s="53"/>
    </row>
    <row r="1646" spans="2:13">
      <c r="B1646" s="53"/>
      <c r="C1646" s="53"/>
      <c r="D1646" s="53"/>
      <c r="E1646" s="53"/>
      <c r="F1646" s="53"/>
      <c r="G1646" s="53"/>
      <c r="H1646" s="53"/>
      <c r="I1646" s="53"/>
      <c r="J1646" s="53"/>
      <c r="K1646" s="53"/>
      <c r="L1646" s="53"/>
      <c r="M1646" s="53"/>
    </row>
    <row r="1647" spans="2:13">
      <c r="B1647" s="53"/>
      <c r="C1647" s="53"/>
      <c r="D1647" s="53"/>
      <c r="E1647" s="53"/>
      <c r="F1647" s="53"/>
      <c r="G1647" s="53"/>
      <c r="H1647" s="53"/>
      <c r="I1647" s="53"/>
      <c r="J1647" s="53"/>
      <c r="K1647" s="53"/>
      <c r="L1647" s="53"/>
      <c r="M1647" s="53"/>
    </row>
    <row r="1648" spans="2:13">
      <c r="B1648" s="53"/>
      <c r="C1648" s="53"/>
      <c r="D1648" s="53"/>
      <c r="E1648" s="53"/>
      <c r="F1648" s="53"/>
      <c r="G1648" s="53"/>
      <c r="H1648" s="53"/>
      <c r="I1648" s="53"/>
      <c r="J1648" s="53"/>
      <c r="K1648" s="53"/>
      <c r="L1648" s="53"/>
      <c r="M1648" s="53"/>
    </row>
    <row r="1649" spans="2:13">
      <c r="B1649" s="53"/>
      <c r="C1649" s="53"/>
      <c r="D1649" s="53"/>
      <c r="E1649" s="53"/>
      <c r="F1649" s="53"/>
      <c r="G1649" s="53"/>
      <c r="H1649" s="53"/>
      <c r="I1649" s="53"/>
      <c r="J1649" s="53"/>
      <c r="K1649" s="53"/>
      <c r="L1649" s="53"/>
      <c r="M1649" s="53"/>
    </row>
    <row r="1650" spans="2:13">
      <c r="B1650" s="53"/>
      <c r="C1650" s="53"/>
      <c r="D1650" s="53"/>
      <c r="E1650" s="53"/>
      <c r="F1650" s="53"/>
      <c r="G1650" s="53"/>
      <c r="H1650" s="53"/>
      <c r="I1650" s="53"/>
      <c r="J1650" s="53"/>
      <c r="K1650" s="53"/>
      <c r="L1650" s="53"/>
      <c r="M1650" s="53"/>
    </row>
    <row r="1651" spans="2:13">
      <c r="B1651" s="53"/>
      <c r="C1651" s="53"/>
      <c r="D1651" s="53"/>
      <c r="E1651" s="53"/>
      <c r="F1651" s="53"/>
      <c r="G1651" s="53"/>
      <c r="H1651" s="53"/>
      <c r="I1651" s="53"/>
      <c r="J1651" s="53"/>
      <c r="K1651" s="53"/>
      <c r="L1651" s="53"/>
      <c r="M1651" s="53"/>
    </row>
    <row r="1652" spans="2:13">
      <c r="B1652" s="53"/>
      <c r="C1652" s="53"/>
      <c r="D1652" s="53"/>
      <c r="E1652" s="53"/>
      <c r="F1652" s="53"/>
      <c r="G1652" s="53"/>
      <c r="H1652" s="53"/>
      <c r="I1652" s="53"/>
      <c r="J1652" s="53"/>
      <c r="K1652" s="53"/>
      <c r="L1652" s="53"/>
      <c r="M1652" s="53"/>
    </row>
    <row r="1653" spans="2:13">
      <c r="B1653" s="53"/>
      <c r="C1653" s="53"/>
      <c r="D1653" s="53"/>
      <c r="E1653" s="53"/>
      <c r="F1653" s="53"/>
      <c r="G1653" s="53"/>
      <c r="H1653" s="53"/>
      <c r="I1653" s="53"/>
      <c r="J1653" s="53"/>
      <c r="K1653" s="53"/>
      <c r="L1653" s="53"/>
      <c r="M1653" s="53"/>
    </row>
    <row r="1654" spans="2:13">
      <c r="B1654" s="53"/>
      <c r="C1654" s="53"/>
      <c r="D1654" s="53"/>
      <c r="E1654" s="53"/>
      <c r="F1654" s="53"/>
      <c r="G1654" s="53"/>
      <c r="H1654" s="53"/>
      <c r="I1654" s="53"/>
      <c r="J1654" s="53"/>
      <c r="K1654" s="53"/>
      <c r="L1654" s="53"/>
      <c r="M1654" s="53"/>
    </row>
    <row r="1655" spans="2:13">
      <c r="B1655" s="53"/>
      <c r="C1655" s="53"/>
      <c r="D1655" s="53"/>
      <c r="E1655" s="53"/>
      <c r="F1655" s="53"/>
      <c r="G1655" s="53"/>
      <c r="H1655" s="53"/>
      <c r="I1655" s="53"/>
      <c r="J1655" s="53"/>
      <c r="K1655" s="53"/>
      <c r="L1655" s="53"/>
      <c r="M1655" s="53"/>
    </row>
    <row r="1656" spans="2:13">
      <c r="B1656" s="53"/>
      <c r="C1656" s="53"/>
      <c r="D1656" s="53"/>
      <c r="E1656" s="53"/>
      <c r="F1656" s="53"/>
      <c r="G1656" s="53"/>
      <c r="H1656" s="53"/>
      <c r="I1656" s="53"/>
      <c r="J1656" s="53"/>
      <c r="K1656" s="53"/>
      <c r="L1656" s="53"/>
      <c r="M1656" s="53"/>
    </row>
    <row r="1657" spans="2:13">
      <c r="B1657" s="53"/>
      <c r="C1657" s="53"/>
      <c r="D1657" s="53"/>
      <c r="E1657" s="53"/>
      <c r="F1657" s="53"/>
      <c r="G1657" s="53"/>
      <c r="H1657" s="53"/>
      <c r="I1657" s="53"/>
      <c r="J1657" s="53"/>
      <c r="K1657" s="53"/>
      <c r="L1657" s="53"/>
      <c r="M1657" s="53"/>
    </row>
    <row r="1658" spans="2:13">
      <c r="B1658" s="53"/>
      <c r="C1658" s="53"/>
      <c r="D1658" s="53"/>
      <c r="E1658" s="53"/>
      <c r="F1658" s="53"/>
      <c r="G1658" s="53"/>
      <c r="H1658" s="53"/>
      <c r="I1658" s="53"/>
      <c r="J1658" s="53"/>
      <c r="K1658" s="53"/>
      <c r="L1658" s="53"/>
      <c r="M1658" s="53"/>
    </row>
    <row r="1659" spans="2:13">
      <c r="B1659" s="53"/>
      <c r="C1659" s="53"/>
      <c r="D1659" s="53"/>
      <c r="E1659" s="53"/>
      <c r="F1659" s="53"/>
      <c r="G1659" s="53"/>
      <c r="H1659" s="53"/>
      <c r="I1659" s="53"/>
      <c r="J1659" s="53"/>
      <c r="K1659" s="53"/>
      <c r="L1659" s="53"/>
      <c r="M1659" s="53"/>
    </row>
    <row r="1660" spans="2:13">
      <c r="B1660" s="53"/>
      <c r="C1660" s="53"/>
      <c r="D1660" s="53"/>
      <c r="E1660" s="53"/>
      <c r="F1660" s="53"/>
      <c r="G1660" s="53"/>
      <c r="H1660" s="53"/>
      <c r="I1660" s="53"/>
      <c r="J1660" s="53"/>
      <c r="K1660" s="53"/>
      <c r="L1660" s="53"/>
      <c r="M1660" s="53"/>
    </row>
    <row r="1661" spans="2:13">
      <c r="B1661" s="53"/>
      <c r="C1661" s="53"/>
      <c r="D1661" s="53"/>
      <c r="E1661" s="53"/>
      <c r="F1661" s="53"/>
      <c r="G1661" s="53"/>
      <c r="H1661" s="53"/>
      <c r="I1661" s="53"/>
      <c r="J1661" s="53"/>
      <c r="K1661" s="53"/>
      <c r="L1661" s="53"/>
      <c r="M1661" s="53"/>
    </row>
    <row r="1662" spans="2:13">
      <c r="B1662" s="53"/>
      <c r="C1662" s="53"/>
      <c r="D1662" s="53"/>
      <c r="E1662" s="53"/>
      <c r="F1662" s="53"/>
      <c r="G1662" s="53"/>
      <c r="H1662" s="53"/>
      <c r="I1662" s="53"/>
      <c r="J1662" s="53"/>
      <c r="K1662" s="53"/>
      <c r="L1662" s="53"/>
      <c r="M1662" s="53"/>
    </row>
    <row r="1663" spans="2:13">
      <c r="B1663" s="53"/>
      <c r="C1663" s="53"/>
      <c r="D1663" s="53"/>
      <c r="E1663" s="53"/>
      <c r="F1663" s="53"/>
      <c r="G1663" s="53"/>
      <c r="H1663" s="53"/>
      <c r="I1663" s="53"/>
      <c r="J1663" s="53"/>
      <c r="K1663" s="53"/>
      <c r="L1663" s="53"/>
      <c r="M1663" s="53"/>
    </row>
    <row r="1664" spans="2:13">
      <c r="B1664" s="53"/>
      <c r="C1664" s="53"/>
      <c r="D1664" s="53"/>
      <c r="E1664" s="53"/>
      <c r="F1664" s="53"/>
      <c r="G1664" s="53"/>
      <c r="H1664" s="53"/>
      <c r="I1664" s="53"/>
      <c r="J1664" s="53"/>
      <c r="K1664" s="53"/>
      <c r="L1664" s="53"/>
      <c r="M1664" s="53"/>
    </row>
    <row r="1665" spans="2:13">
      <c r="B1665" s="53"/>
      <c r="C1665" s="53"/>
      <c r="D1665" s="53"/>
      <c r="E1665" s="53"/>
      <c r="F1665" s="53"/>
      <c r="G1665" s="53"/>
      <c r="H1665" s="53"/>
      <c r="I1665" s="53"/>
      <c r="J1665" s="53"/>
      <c r="K1665" s="53"/>
      <c r="L1665" s="53"/>
      <c r="M1665" s="53"/>
    </row>
    <row r="1666" spans="2:13">
      <c r="B1666" s="53"/>
      <c r="C1666" s="53"/>
      <c r="D1666" s="53"/>
      <c r="E1666" s="53"/>
      <c r="F1666" s="53"/>
      <c r="G1666" s="53"/>
      <c r="H1666" s="53"/>
      <c r="I1666" s="53"/>
      <c r="J1666" s="53"/>
      <c r="K1666" s="53"/>
      <c r="L1666" s="53"/>
      <c r="M1666" s="53"/>
    </row>
    <row r="1667" spans="2:13">
      <c r="B1667" s="53"/>
      <c r="C1667" s="53"/>
      <c r="D1667" s="53"/>
      <c r="E1667" s="53"/>
      <c r="F1667" s="53"/>
      <c r="G1667" s="53"/>
      <c r="H1667" s="53"/>
      <c r="I1667" s="53"/>
      <c r="J1667" s="53"/>
      <c r="K1667" s="53"/>
      <c r="L1667" s="53"/>
      <c r="M1667" s="53"/>
    </row>
    <row r="1668" spans="2:13">
      <c r="B1668" s="53"/>
      <c r="C1668" s="53"/>
      <c r="D1668" s="53"/>
      <c r="E1668" s="53"/>
      <c r="F1668" s="53"/>
      <c r="G1668" s="53"/>
      <c r="H1668" s="53"/>
      <c r="I1668" s="53"/>
      <c r="J1668" s="53"/>
      <c r="K1668" s="53"/>
      <c r="L1668" s="53"/>
      <c r="M1668" s="53"/>
    </row>
    <row r="1669" spans="2:13">
      <c r="B1669" s="53"/>
      <c r="C1669" s="53"/>
      <c r="D1669" s="53"/>
      <c r="E1669" s="53"/>
      <c r="F1669" s="53"/>
      <c r="G1669" s="53"/>
      <c r="H1669" s="53"/>
      <c r="I1669" s="53"/>
      <c r="J1669" s="53"/>
      <c r="K1669" s="53"/>
      <c r="L1669" s="53"/>
      <c r="M1669" s="53"/>
    </row>
    <row r="1670" spans="2:13">
      <c r="B1670" s="53"/>
      <c r="C1670" s="53"/>
      <c r="D1670" s="53"/>
      <c r="E1670" s="53"/>
      <c r="F1670" s="53"/>
      <c r="G1670" s="53"/>
      <c r="H1670" s="53"/>
      <c r="I1670" s="53"/>
      <c r="J1670" s="53"/>
      <c r="K1670" s="53"/>
      <c r="L1670" s="53"/>
      <c r="M1670" s="53"/>
    </row>
    <row r="1671" spans="2:13">
      <c r="B1671" s="53"/>
      <c r="C1671" s="53"/>
      <c r="D1671" s="53"/>
      <c r="E1671" s="53"/>
      <c r="F1671" s="53"/>
      <c r="G1671" s="53"/>
      <c r="H1671" s="53"/>
      <c r="I1671" s="53"/>
      <c r="J1671" s="53"/>
      <c r="K1671" s="53"/>
      <c r="L1671" s="53"/>
      <c r="M1671" s="53"/>
    </row>
    <row r="1672" spans="2:13">
      <c r="B1672" s="53"/>
      <c r="C1672" s="53"/>
      <c r="D1672" s="53"/>
      <c r="E1672" s="53"/>
      <c r="F1672" s="53"/>
      <c r="G1672" s="53"/>
      <c r="H1672" s="53"/>
      <c r="I1672" s="53"/>
      <c r="J1672" s="53"/>
      <c r="K1672" s="53"/>
      <c r="L1672" s="53"/>
      <c r="M1672" s="53"/>
    </row>
    <row r="1673" spans="2:13">
      <c r="B1673" s="53"/>
      <c r="C1673" s="53"/>
      <c r="D1673" s="53"/>
      <c r="E1673" s="53"/>
      <c r="F1673" s="53"/>
      <c r="G1673" s="53"/>
      <c r="H1673" s="53"/>
      <c r="I1673" s="53"/>
      <c r="J1673" s="53"/>
      <c r="K1673" s="53"/>
      <c r="L1673" s="53"/>
      <c r="M1673" s="53"/>
    </row>
    <row r="1674" spans="2:13">
      <c r="B1674" s="53"/>
      <c r="C1674" s="53"/>
      <c r="D1674" s="53"/>
      <c r="E1674" s="53"/>
      <c r="F1674" s="53"/>
      <c r="G1674" s="53"/>
      <c r="H1674" s="53"/>
      <c r="I1674" s="53"/>
      <c r="J1674" s="53"/>
      <c r="K1674" s="53"/>
      <c r="L1674" s="53"/>
      <c r="M1674" s="53"/>
    </row>
    <row r="1675" spans="2:13">
      <c r="B1675" s="53"/>
      <c r="C1675" s="53"/>
      <c r="D1675" s="53"/>
      <c r="E1675" s="53"/>
      <c r="F1675" s="53"/>
      <c r="G1675" s="53"/>
      <c r="H1675" s="53"/>
      <c r="I1675" s="53"/>
      <c r="J1675" s="53"/>
      <c r="K1675" s="53"/>
      <c r="L1675" s="53"/>
      <c r="M1675" s="53"/>
    </row>
    <row r="1676" spans="2:13">
      <c r="B1676" s="53"/>
      <c r="C1676" s="53"/>
      <c r="D1676" s="53"/>
      <c r="E1676" s="53"/>
      <c r="F1676" s="53"/>
      <c r="G1676" s="53"/>
      <c r="H1676" s="53"/>
      <c r="I1676" s="53"/>
      <c r="J1676" s="53"/>
      <c r="K1676" s="53"/>
      <c r="L1676" s="53"/>
      <c r="M1676" s="53"/>
    </row>
    <row r="1677" spans="2:13">
      <c r="B1677" s="53"/>
      <c r="C1677" s="53"/>
      <c r="D1677" s="53"/>
      <c r="E1677" s="53"/>
      <c r="F1677" s="53"/>
      <c r="G1677" s="53"/>
      <c r="H1677" s="53"/>
      <c r="I1677" s="53"/>
      <c r="J1677" s="53"/>
      <c r="K1677" s="53"/>
      <c r="L1677" s="53"/>
      <c r="M1677" s="53"/>
    </row>
    <row r="1678" spans="2:13">
      <c r="B1678" s="53"/>
      <c r="C1678" s="53"/>
      <c r="D1678" s="53"/>
      <c r="E1678" s="53"/>
      <c r="F1678" s="53"/>
      <c r="G1678" s="53"/>
      <c r="H1678" s="53"/>
      <c r="I1678" s="53"/>
      <c r="J1678" s="53"/>
      <c r="K1678" s="53"/>
      <c r="L1678" s="53"/>
      <c r="M1678" s="53"/>
    </row>
    <row r="1679" spans="2:13">
      <c r="B1679" s="53"/>
      <c r="C1679" s="53"/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</row>
    <row r="1680" spans="2:13">
      <c r="B1680" s="53"/>
      <c r="C1680" s="53"/>
      <c r="D1680" s="53"/>
      <c r="E1680" s="53"/>
      <c r="F1680" s="53"/>
      <c r="G1680" s="53"/>
      <c r="H1680" s="53"/>
      <c r="I1680" s="53"/>
      <c r="J1680" s="53"/>
      <c r="K1680" s="53"/>
      <c r="L1680" s="53"/>
      <c r="M1680" s="53"/>
    </row>
    <row r="1681" spans="2:13">
      <c r="B1681" s="53"/>
      <c r="C1681" s="53"/>
      <c r="D1681" s="53"/>
      <c r="E1681" s="53"/>
      <c r="F1681" s="53"/>
      <c r="G1681" s="53"/>
      <c r="H1681" s="53"/>
      <c r="I1681" s="53"/>
      <c r="J1681" s="53"/>
      <c r="K1681" s="53"/>
      <c r="L1681" s="53"/>
      <c r="M1681" s="53"/>
    </row>
    <row r="1682" spans="2:13">
      <c r="B1682" s="53"/>
      <c r="C1682" s="53"/>
      <c r="D1682" s="53"/>
      <c r="E1682" s="53"/>
      <c r="F1682" s="53"/>
      <c r="G1682" s="53"/>
      <c r="H1682" s="53"/>
      <c r="I1682" s="53"/>
      <c r="J1682" s="53"/>
      <c r="K1682" s="53"/>
      <c r="L1682" s="53"/>
      <c r="M1682" s="53"/>
    </row>
    <row r="1683" spans="2:13">
      <c r="B1683" s="53"/>
      <c r="C1683" s="53"/>
      <c r="D1683" s="53"/>
      <c r="E1683" s="53"/>
      <c r="F1683" s="53"/>
      <c r="G1683" s="53"/>
      <c r="H1683" s="53"/>
      <c r="I1683" s="53"/>
      <c r="J1683" s="53"/>
      <c r="K1683" s="53"/>
      <c r="L1683" s="53"/>
      <c r="M1683" s="53"/>
    </row>
    <row r="1684" spans="2:13"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</row>
    <row r="1685" spans="2:13">
      <c r="B1685" s="53"/>
      <c r="C1685" s="53"/>
      <c r="D1685" s="53"/>
      <c r="E1685" s="53"/>
      <c r="F1685" s="53"/>
      <c r="G1685" s="53"/>
      <c r="H1685" s="53"/>
      <c r="I1685" s="53"/>
      <c r="J1685" s="53"/>
      <c r="K1685" s="53"/>
      <c r="L1685" s="53"/>
      <c r="M1685" s="53"/>
    </row>
    <row r="1686" spans="2:13">
      <c r="B1686" s="53"/>
      <c r="C1686" s="53"/>
      <c r="D1686" s="53"/>
      <c r="E1686" s="53"/>
      <c r="F1686" s="53"/>
      <c r="G1686" s="53"/>
      <c r="H1686" s="53"/>
      <c r="I1686" s="53"/>
      <c r="J1686" s="53"/>
      <c r="K1686" s="53"/>
      <c r="L1686" s="53"/>
      <c r="M1686" s="53"/>
    </row>
    <row r="1687" spans="2:13">
      <c r="B1687" s="53"/>
      <c r="C1687" s="53"/>
      <c r="D1687" s="53"/>
      <c r="E1687" s="53"/>
      <c r="F1687" s="53"/>
      <c r="G1687" s="53"/>
      <c r="H1687" s="53"/>
      <c r="I1687" s="53"/>
      <c r="J1687" s="53"/>
      <c r="K1687" s="53"/>
      <c r="L1687" s="53"/>
      <c r="M1687" s="53"/>
    </row>
    <row r="1688" spans="2:13">
      <c r="B1688" s="53"/>
      <c r="C1688" s="53"/>
      <c r="D1688" s="53"/>
      <c r="E1688" s="53"/>
      <c r="F1688" s="53"/>
      <c r="G1688" s="53"/>
      <c r="H1688" s="53"/>
      <c r="I1688" s="53"/>
      <c r="J1688" s="53"/>
      <c r="K1688" s="53"/>
      <c r="L1688" s="53"/>
      <c r="M1688" s="53"/>
    </row>
    <row r="1689" spans="2:13">
      <c r="B1689" s="53"/>
      <c r="C1689" s="53"/>
      <c r="D1689" s="53"/>
      <c r="E1689" s="53"/>
      <c r="F1689" s="53"/>
      <c r="G1689" s="53"/>
      <c r="H1689" s="53"/>
      <c r="I1689" s="53"/>
      <c r="J1689" s="53"/>
      <c r="K1689" s="53"/>
      <c r="L1689" s="53"/>
      <c r="M1689" s="53"/>
    </row>
    <row r="1690" spans="2:13">
      <c r="B1690" s="53"/>
      <c r="C1690" s="53"/>
      <c r="D1690" s="53"/>
      <c r="E1690" s="53"/>
      <c r="F1690" s="53"/>
      <c r="G1690" s="53"/>
      <c r="H1690" s="53"/>
      <c r="I1690" s="53"/>
      <c r="J1690" s="53"/>
      <c r="K1690" s="53"/>
      <c r="L1690" s="53"/>
      <c r="M1690" s="53"/>
    </row>
    <row r="1691" spans="2:13">
      <c r="B1691" s="53"/>
      <c r="C1691" s="53"/>
      <c r="D1691" s="53"/>
      <c r="E1691" s="53"/>
      <c r="F1691" s="53"/>
      <c r="G1691" s="53"/>
      <c r="H1691" s="53"/>
      <c r="I1691" s="53"/>
      <c r="J1691" s="53"/>
      <c r="K1691" s="53"/>
      <c r="L1691" s="53"/>
      <c r="M1691" s="53"/>
    </row>
    <row r="1692" spans="2:13">
      <c r="B1692" s="53"/>
      <c r="C1692" s="53"/>
      <c r="D1692" s="53"/>
      <c r="E1692" s="53"/>
      <c r="F1692" s="53"/>
      <c r="G1692" s="53"/>
      <c r="H1692" s="53"/>
      <c r="I1692" s="53"/>
      <c r="J1692" s="53"/>
      <c r="K1692" s="53"/>
      <c r="L1692" s="53"/>
      <c r="M1692" s="53"/>
    </row>
    <row r="1693" spans="2:13">
      <c r="B1693" s="53"/>
      <c r="C1693" s="53"/>
      <c r="D1693" s="53"/>
      <c r="E1693" s="53"/>
      <c r="F1693" s="53"/>
      <c r="G1693" s="53"/>
      <c r="H1693" s="53"/>
      <c r="I1693" s="53"/>
      <c r="J1693" s="53"/>
      <c r="K1693" s="53"/>
      <c r="L1693" s="53"/>
      <c r="M1693" s="53"/>
    </row>
    <row r="1694" spans="2:13">
      <c r="B1694" s="53"/>
      <c r="C1694" s="53"/>
      <c r="D1694" s="53"/>
      <c r="E1694" s="53"/>
      <c r="F1694" s="53"/>
      <c r="G1694" s="53"/>
      <c r="H1694" s="53"/>
      <c r="I1694" s="53"/>
      <c r="J1694" s="53"/>
      <c r="K1694" s="53"/>
      <c r="L1694" s="53"/>
      <c r="M1694" s="53"/>
    </row>
    <row r="1695" spans="2:13">
      <c r="B1695" s="53"/>
      <c r="C1695" s="53"/>
      <c r="D1695" s="53"/>
      <c r="E1695" s="53"/>
      <c r="F1695" s="53"/>
      <c r="G1695" s="53"/>
      <c r="H1695" s="53"/>
      <c r="I1695" s="53"/>
      <c r="J1695" s="53"/>
      <c r="K1695" s="53"/>
      <c r="L1695" s="53"/>
      <c r="M1695" s="53"/>
    </row>
    <row r="1696" spans="2:13">
      <c r="B1696" s="53"/>
      <c r="C1696" s="53"/>
      <c r="D1696" s="53"/>
      <c r="E1696" s="53"/>
      <c r="F1696" s="53"/>
      <c r="G1696" s="53"/>
      <c r="H1696" s="53"/>
      <c r="I1696" s="53"/>
      <c r="J1696" s="53"/>
      <c r="K1696" s="53"/>
      <c r="L1696" s="53"/>
      <c r="M1696" s="53"/>
    </row>
    <row r="1697" spans="2:13">
      <c r="B1697" s="53"/>
      <c r="C1697" s="53"/>
      <c r="D1697" s="53"/>
      <c r="E1697" s="53"/>
      <c r="F1697" s="53"/>
      <c r="G1697" s="53"/>
      <c r="H1697" s="53"/>
      <c r="I1697" s="53"/>
      <c r="J1697" s="53"/>
      <c r="K1697" s="53"/>
      <c r="L1697" s="53"/>
      <c r="M1697" s="53"/>
    </row>
    <row r="1698" spans="2:13">
      <c r="B1698" s="53"/>
      <c r="C1698" s="53"/>
      <c r="D1698" s="53"/>
      <c r="E1698" s="53"/>
      <c r="F1698" s="53"/>
      <c r="G1698" s="53"/>
      <c r="H1698" s="53"/>
      <c r="I1698" s="53"/>
      <c r="J1698" s="53"/>
      <c r="K1698" s="53"/>
      <c r="L1698" s="53"/>
      <c r="M1698" s="53"/>
    </row>
    <row r="1699" spans="2:13">
      <c r="B1699" s="53"/>
      <c r="C1699" s="53"/>
      <c r="D1699" s="53"/>
      <c r="E1699" s="53"/>
      <c r="F1699" s="53"/>
      <c r="G1699" s="53"/>
      <c r="H1699" s="53"/>
      <c r="I1699" s="53"/>
      <c r="J1699" s="53"/>
      <c r="K1699" s="53"/>
      <c r="L1699" s="53"/>
      <c r="M1699" s="53"/>
    </row>
    <row r="1700" spans="2:13">
      <c r="B1700" s="53"/>
      <c r="C1700" s="53"/>
      <c r="D1700" s="53"/>
      <c r="E1700" s="53"/>
      <c r="F1700" s="53"/>
      <c r="G1700" s="53"/>
      <c r="H1700" s="53"/>
      <c r="I1700" s="53"/>
      <c r="J1700" s="53"/>
      <c r="K1700" s="53"/>
      <c r="L1700" s="53"/>
      <c r="M1700" s="53"/>
    </row>
    <row r="1701" spans="2:13">
      <c r="B1701" s="53"/>
      <c r="C1701" s="53"/>
      <c r="D1701" s="53"/>
      <c r="E1701" s="53"/>
      <c r="F1701" s="53"/>
      <c r="G1701" s="53"/>
      <c r="H1701" s="53"/>
      <c r="I1701" s="53"/>
      <c r="J1701" s="53"/>
      <c r="K1701" s="53"/>
      <c r="L1701" s="53"/>
      <c r="M1701" s="53"/>
    </row>
    <row r="1702" spans="2:13">
      <c r="B1702" s="53"/>
      <c r="C1702" s="53"/>
      <c r="D1702" s="53"/>
      <c r="E1702" s="53"/>
      <c r="F1702" s="53"/>
      <c r="G1702" s="53"/>
      <c r="H1702" s="53"/>
      <c r="I1702" s="53"/>
      <c r="J1702" s="53"/>
      <c r="K1702" s="53"/>
      <c r="L1702" s="53"/>
      <c r="M1702" s="53"/>
    </row>
    <row r="1703" spans="2:13">
      <c r="B1703" s="53"/>
      <c r="C1703" s="53"/>
      <c r="D1703" s="53"/>
      <c r="E1703" s="53"/>
      <c r="F1703" s="53"/>
      <c r="G1703" s="53"/>
      <c r="H1703" s="53"/>
      <c r="I1703" s="53"/>
      <c r="J1703" s="53"/>
      <c r="K1703" s="53"/>
      <c r="L1703" s="53"/>
      <c r="M1703" s="53"/>
    </row>
    <row r="1704" spans="2:13">
      <c r="B1704" s="53"/>
      <c r="C1704" s="53"/>
      <c r="D1704" s="53"/>
      <c r="E1704" s="53"/>
      <c r="F1704" s="53"/>
      <c r="G1704" s="53"/>
      <c r="H1704" s="53"/>
      <c r="I1704" s="53"/>
      <c r="J1704" s="53"/>
      <c r="K1704" s="53"/>
      <c r="L1704" s="53"/>
      <c r="M1704" s="53"/>
    </row>
    <row r="1705" spans="2:13">
      <c r="B1705" s="53"/>
      <c r="C1705" s="53"/>
      <c r="D1705" s="53"/>
      <c r="E1705" s="53"/>
      <c r="F1705" s="53"/>
      <c r="G1705" s="53"/>
      <c r="H1705" s="53"/>
      <c r="I1705" s="53"/>
      <c r="J1705" s="53"/>
      <c r="K1705" s="53"/>
      <c r="L1705" s="53"/>
      <c r="M1705" s="53"/>
    </row>
    <row r="1706" spans="2:13">
      <c r="B1706" s="53"/>
      <c r="C1706" s="53"/>
      <c r="D1706" s="53"/>
      <c r="E1706" s="53"/>
      <c r="F1706" s="53"/>
      <c r="G1706" s="53"/>
      <c r="H1706" s="53"/>
      <c r="I1706" s="53"/>
      <c r="J1706" s="53"/>
      <c r="K1706" s="53"/>
      <c r="L1706" s="53"/>
      <c r="M1706" s="53"/>
    </row>
    <row r="1707" spans="2:13">
      <c r="B1707" s="53"/>
      <c r="C1707" s="53"/>
      <c r="D1707" s="53"/>
      <c r="E1707" s="53"/>
      <c r="F1707" s="53"/>
      <c r="G1707" s="53"/>
      <c r="H1707" s="53"/>
      <c r="I1707" s="53"/>
      <c r="J1707" s="53"/>
      <c r="K1707" s="53"/>
      <c r="L1707" s="53"/>
      <c r="M1707" s="53"/>
    </row>
    <row r="1708" spans="2:13">
      <c r="B1708" s="53"/>
      <c r="C1708" s="53"/>
      <c r="D1708" s="53"/>
      <c r="E1708" s="53"/>
      <c r="F1708" s="53"/>
      <c r="G1708" s="53"/>
      <c r="H1708" s="53"/>
      <c r="I1708" s="53"/>
      <c r="J1708" s="53"/>
      <c r="K1708" s="53"/>
      <c r="L1708" s="53"/>
      <c r="M1708" s="53"/>
    </row>
    <row r="1709" spans="2:13">
      <c r="B1709" s="53"/>
      <c r="C1709" s="53"/>
      <c r="D1709" s="53"/>
      <c r="E1709" s="53"/>
      <c r="F1709" s="53"/>
      <c r="G1709" s="53"/>
      <c r="H1709" s="53"/>
      <c r="I1709" s="53"/>
      <c r="J1709" s="53"/>
      <c r="K1709" s="53"/>
      <c r="L1709" s="53"/>
      <c r="M1709" s="53"/>
    </row>
    <row r="1710" spans="2:13">
      <c r="B1710" s="53"/>
      <c r="C1710" s="53"/>
      <c r="D1710" s="53"/>
      <c r="E1710" s="53"/>
      <c r="F1710" s="53"/>
      <c r="G1710" s="53"/>
      <c r="H1710" s="53"/>
      <c r="I1710" s="53"/>
      <c r="J1710" s="53"/>
      <c r="K1710" s="53"/>
      <c r="L1710" s="53"/>
      <c r="M1710" s="53"/>
    </row>
    <row r="1711" spans="2:13">
      <c r="B1711" s="53"/>
      <c r="C1711" s="53"/>
      <c r="D1711" s="53"/>
      <c r="E1711" s="53"/>
      <c r="F1711" s="53"/>
      <c r="G1711" s="53"/>
      <c r="H1711" s="53"/>
      <c r="I1711" s="53"/>
      <c r="J1711" s="53"/>
      <c r="K1711" s="53"/>
      <c r="L1711" s="53"/>
      <c r="M1711" s="53"/>
    </row>
    <row r="1712" spans="2:13">
      <c r="B1712" s="53"/>
      <c r="C1712" s="53"/>
      <c r="D1712" s="53"/>
      <c r="E1712" s="53"/>
      <c r="F1712" s="53"/>
      <c r="G1712" s="53"/>
      <c r="H1712" s="53"/>
      <c r="I1712" s="53"/>
      <c r="J1712" s="53"/>
      <c r="K1712" s="53"/>
      <c r="L1712" s="53"/>
      <c r="M1712" s="53"/>
    </row>
    <row r="1713" spans="2:13">
      <c r="B1713" s="53"/>
      <c r="C1713" s="53"/>
      <c r="D1713" s="53"/>
      <c r="E1713" s="53"/>
      <c r="F1713" s="53"/>
      <c r="G1713" s="53"/>
      <c r="H1713" s="53"/>
      <c r="I1713" s="53"/>
      <c r="J1713" s="53"/>
      <c r="K1713" s="53"/>
      <c r="L1713" s="53"/>
      <c r="M1713" s="53"/>
    </row>
    <row r="1714" spans="2:13">
      <c r="B1714" s="53"/>
      <c r="C1714" s="53"/>
      <c r="D1714" s="53"/>
      <c r="E1714" s="53"/>
      <c r="F1714" s="53"/>
      <c r="G1714" s="53"/>
      <c r="H1714" s="53"/>
      <c r="I1714" s="53"/>
      <c r="J1714" s="53"/>
      <c r="K1714" s="53"/>
      <c r="L1714" s="53"/>
      <c r="M1714" s="53"/>
    </row>
    <row r="1715" spans="2:13">
      <c r="B1715" s="53"/>
      <c r="C1715" s="53"/>
      <c r="D1715" s="53"/>
      <c r="E1715" s="53"/>
      <c r="F1715" s="53"/>
      <c r="G1715" s="53"/>
      <c r="H1715" s="53"/>
      <c r="I1715" s="53"/>
      <c r="J1715" s="53"/>
      <c r="K1715" s="53"/>
      <c r="L1715" s="53"/>
      <c r="M1715" s="53"/>
    </row>
    <row r="1716" spans="2:13">
      <c r="B1716" s="53"/>
      <c r="C1716" s="53"/>
      <c r="D1716" s="53"/>
      <c r="E1716" s="53"/>
      <c r="F1716" s="53"/>
      <c r="G1716" s="53"/>
      <c r="H1716" s="53"/>
      <c r="I1716" s="53"/>
      <c r="J1716" s="53"/>
      <c r="K1716" s="53"/>
      <c r="L1716" s="53"/>
      <c r="M1716" s="53"/>
    </row>
    <row r="1717" spans="2:13">
      <c r="B1717" s="53"/>
      <c r="C1717" s="53"/>
      <c r="D1717" s="53"/>
      <c r="E1717" s="53"/>
      <c r="F1717" s="53"/>
      <c r="G1717" s="53"/>
      <c r="H1717" s="53"/>
      <c r="I1717" s="53"/>
      <c r="J1717" s="53"/>
      <c r="K1717" s="53"/>
      <c r="L1717" s="53"/>
      <c r="M1717" s="53"/>
    </row>
    <row r="1718" spans="2:13">
      <c r="B1718" s="53"/>
      <c r="C1718" s="53"/>
      <c r="D1718" s="53"/>
      <c r="E1718" s="53"/>
      <c r="F1718" s="53"/>
      <c r="G1718" s="53"/>
      <c r="H1718" s="53"/>
      <c r="I1718" s="53"/>
      <c r="J1718" s="53"/>
      <c r="K1718" s="53"/>
      <c r="L1718" s="53"/>
      <c r="M1718" s="53"/>
    </row>
    <row r="1719" spans="2:13">
      <c r="B1719" s="53"/>
      <c r="C1719" s="53"/>
      <c r="D1719" s="53"/>
      <c r="E1719" s="53"/>
      <c r="F1719" s="53"/>
      <c r="G1719" s="53"/>
      <c r="H1719" s="53"/>
      <c r="I1719" s="53"/>
      <c r="J1719" s="53"/>
      <c r="K1719" s="53"/>
      <c r="L1719" s="53"/>
      <c r="M1719" s="53"/>
    </row>
    <row r="1720" spans="2:13">
      <c r="B1720" s="53"/>
      <c r="C1720" s="53"/>
      <c r="D1720" s="53"/>
      <c r="E1720" s="53"/>
      <c r="F1720" s="53"/>
      <c r="G1720" s="53"/>
      <c r="H1720" s="53"/>
      <c r="I1720" s="53"/>
      <c r="J1720" s="53"/>
      <c r="K1720" s="53"/>
      <c r="L1720" s="53"/>
      <c r="M1720" s="53"/>
    </row>
    <row r="1721" spans="2:13">
      <c r="B1721" s="53"/>
      <c r="C1721" s="53"/>
      <c r="D1721" s="53"/>
      <c r="E1721" s="53"/>
      <c r="F1721" s="53"/>
      <c r="G1721" s="53"/>
      <c r="H1721" s="53"/>
      <c r="I1721" s="53"/>
      <c r="J1721" s="53"/>
      <c r="K1721" s="53"/>
      <c r="L1721" s="53"/>
      <c r="M1721" s="53"/>
    </row>
    <row r="1722" spans="2:13">
      <c r="B1722" s="53"/>
      <c r="C1722" s="53"/>
      <c r="D1722" s="53"/>
      <c r="E1722" s="53"/>
      <c r="F1722" s="53"/>
      <c r="G1722" s="53"/>
      <c r="H1722" s="53"/>
      <c r="I1722" s="53"/>
      <c r="J1722" s="53"/>
      <c r="K1722" s="53"/>
      <c r="L1722" s="53"/>
      <c r="M1722" s="53"/>
    </row>
    <row r="1723" spans="2:13">
      <c r="B1723" s="53"/>
      <c r="C1723" s="53"/>
      <c r="D1723" s="53"/>
      <c r="E1723" s="53"/>
      <c r="F1723" s="53"/>
      <c r="G1723" s="53"/>
      <c r="H1723" s="53"/>
      <c r="I1723" s="53"/>
      <c r="J1723" s="53"/>
      <c r="K1723" s="53"/>
      <c r="L1723" s="53"/>
      <c r="M1723" s="53"/>
    </row>
    <row r="1724" spans="2:13">
      <c r="B1724" s="53"/>
      <c r="C1724" s="53"/>
      <c r="D1724" s="53"/>
      <c r="E1724" s="53"/>
      <c r="F1724" s="53"/>
      <c r="G1724" s="53"/>
      <c r="H1724" s="53"/>
      <c r="I1724" s="53"/>
      <c r="J1724" s="53"/>
      <c r="K1724" s="53"/>
      <c r="L1724" s="53"/>
      <c r="M1724" s="53"/>
    </row>
    <row r="1725" spans="2:13">
      <c r="B1725" s="53"/>
      <c r="C1725" s="53"/>
      <c r="D1725" s="53"/>
      <c r="E1725" s="53"/>
      <c r="F1725" s="53"/>
      <c r="G1725" s="53"/>
      <c r="H1725" s="53"/>
      <c r="I1725" s="53"/>
      <c r="J1725" s="53"/>
      <c r="K1725" s="53"/>
      <c r="L1725" s="53"/>
      <c r="M1725" s="53"/>
    </row>
    <row r="1726" spans="2:13">
      <c r="B1726" s="53"/>
      <c r="C1726" s="53"/>
      <c r="D1726" s="53"/>
      <c r="E1726" s="53"/>
      <c r="F1726" s="53"/>
      <c r="G1726" s="53"/>
      <c r="H1726" s="53"/>
      <c r="I1726" s="53"/>
      <c r="J1726" s="53"/>
      <c r="K1726" s="53"/>
      <c r="L1726" s="53"/>
      <c r="M1726" s="53"/>
    </row>
    <row r="1727" spans="2:13">
      <c r="B1727" s="53"/>
      <c r="C1727" s="53"/>
      <c r="D1727" s="53"/>
      <c r="E1727" s="53"/>
      <c r="F1727" s="53"/>
      <c r="G1727" s="53"/>
      <c r="H1727" s="53"/>
      <c r="I1727" s="53"/>
      <c r="J1727" s="53"/>
      <c r="K1727" s="53"/>
      <c r="L1727" s="53"/>
      <c r="M1727" s="53"/>
    </row>
    <row r="1728" spans="2:13">
      <c r="B1728" s="53"/>
      <c r="C1728" s="53"/>
      <c r="D1728" s="53"/>
      <c r="E1728" s="53"/>
      <c r="F1728" s="53"/>
      <c r="G1728" s="53"/>
      <c r="H1728" s="53"/>
      <c r="I1728" s="53"/>
      <c r="J1728" s="53"/>
      <c r="K1728" s="53"/>
      <c r="L1728" s="53"/>
      <c r="M1728" s="53"/>
    </row>
    <row r="1729" spans="2:13">
      <c r="B1729" s="53"/>
      <c r="C1729" s="53"/>
      <c r="D1729" s="53"/>
      <c r="E1729" s="53"/>
      <c r="F1729" s="53"/>
      <c r="G1729" s="53"/>
      <c r="H1729" s="53"/>
      <c r="I1729" s="53"/>
      <c r="J1729" s="53"/>
      <c r="K1729" s="53"/>
      <c r="L1729" s="53"/>
      <c r="M1729" s="53"/>
    </row>
    <row r="1730" spans="2:13">
      <c r="B1730" s="53"/>
      <c r="C1730" s="53"/>
      <c r="D1730" s="53"/>
      <c r="E1730" s="53"/>
      <c r="F1730" s="53"/>
      <c r="G1730" s="53"/>
      <c r="H1730" s="53"/>
      <c r="I1730" s="53"/>
      <c r="J1730" s="53"/>
      <c r="K1730" s="53"/>
      <c r="L1730" s="53"/>
      <c r="M1730" s="53"/>
    </row>
    <row r="1731" spans="2:13">
      <c r="B1731" s="53"/>
      <c r="C1731" s="53"/>
      <c r="D1731" s="53"/>
      <c r="E1731" s="53"/>
      <c r="F1731" s="53"/>
      <c r="G1731" s="53"/>
      <c r="H1731" s="53"/>
      <c r="I1731" s="53"/>
      <c r="J1731" s="53"/>
      <c r="K1731" s="53"/>
      <c r="L1731" s="53"/>
      <c r="M1731" s="53"/>
    </row>
    <row r="1732" spans="2:13">
      <c r="B1732" s="53"/>
      <c r="C1732" s="53"/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</row>
    <row r="1733" spans="2:13">
      <c r="B1733" s="53"/>
      <c r="C1733" s="53"/>
      <c r="D1733" s="53"/>
      <c r="E1733" s="53"/>
      <c r="F1733" s="53"/>
      <c r="G1733" s="53"/>
      <c r="H1733" s="53"/>
      <c r="I1733" s="53"/>
      <c r="J1733" s="53"/>
      <c r="K1733" s="53"/>
      <c r="L1733" s="53"/>
      <c r="M1733" s="53"/>
    </row>
    <row r="1734" spans="2:13">
      <c r="B1734" s="53"/>
      <c r="C1734" s="53"/>
      <c r="D1734" s="53"/>
      <c r="E1734" s="53"/>
      <c r="F1734" s="53"/>
      <c r="G1734" s="53"/>
      <c r="H1734" s="53"/>
      <c r="I1734" s="53"/>
      <c r="J1734" s="53"/>
      <c r="K1734" s="53"/>
      <c r="L1734" s="53"/>
      <c r="M1734" s="53"/>
    </row>
    <row r="1735" spans="2:13">
      <c r="B1735" s="53"/>
      <c r="C1735" s="53"/>
      <c r="D1735" s="53"/>
      <c r="E1735" s="53"/>
      <c r="F1735" s="53"/>
      <c r="G1735" s="53"/>
      <c r="H1735" s="53"/>
      <c r="I1735" s="53"/>
      <c r="J1735" s="53"/>
      <c r="K1735" s="53"/>
      <c r="L1735" s="53"/>
      <c r="M1735" s="53"/>
    </row>
    <row r="1736" spans="2:13">
      <c r="B1736" s="53"/>
      <c r="C1736" s="53"/>
      <c r="D1736" s="53"/>
      <c r="E1736" s="53"/>
      <c r="F1736" s="53"/>
      <c r="G1736" s="53"/>
      <c r="H1736" s="53"/>
      <c r="I1736" s="53"/>
      <c r="J1736" s="53"/>
      <c r="K1736" s="53"/>
      <c r="L1736" s="53"/>
      <c r="M1736" s="53"/>
    </row>
    <row r="1737" spans="2:13"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</row>
    <row r="1738" spans="2:13">
      <c r="B1738" s="53"/>
      <c r="C1738" s="53"/>
      <c r="D1738" s="53"/>
      <c r="E1738" s="53"/>
      <c r="F1738" s="53"/>
      <c r="G1738" s="53"/>
      <c r="H1738" s="53"/>
      <c r="I1738" s="53"/>
      <c r="J1738" s="53"/>
      <c r="K1738" s="53"/>
      <c r="L1738" s="53"/>
      <c r="M1738" s="53"/>
    </row>
    <row r="1739" spans="2:13">
      <c r="B1739" s="53"/>
      <c r="C1739" s="53"/>
      <c r="D1739" s="53"/>
      <c r="E1739" s="53"/>
      <c r="F1739" s="53"/>
      <c r="G1739" s="53"/>
      <c r="H1739" s="53"/>
      <c r="I1739" s="53"/>
      <c r="J1739" s="53"/>
      <c r="K1739" s="53"/>
      <c r="L1739" s="53"/>
      <c r="M1739" s="53"/>
    </row>
    <row r="1740" spans="2:13">
      <c r="B1740" s="53"/>
      <c r="C1740" s="53"/>
      <c r="D1740" s="53"/>
      <c r="E1740" s="53"/>
      <c r="F1740" s="53"/>
      <c r="G1740" s="53"/>
      <c r="H1740" s="53"/>
      <c r="I1740" s="53"/>
      <c r="J1740" s="53"/>
      <c r="K1740" s="53"/>
      <c r="L1740" s="53"/>
      <c r="M1740" s="53"/>
    </row>
    <row r="1741" spans="2:13">
      <c r="B1741" s="53"/>
      <c r="C1741" s="53"/>
      <c r="D1741" s="53"/>
      <c r="E1741" s="53"/>
      <c r="F1741" s="53"/>
      <c r="G1741" s="53"/>
      <c r="H1741" s="53"/>
      <c r="I1741" s="53"/>
      <c r="J1741" s="53"/>
      <c r="K1741" s="53"/>
      <c r="L1741" s="53"/>
      <c r="M1741" s="53"/>
    </row>
    <row r="1742" spans="2:13">
      <c r="B1742" s="53"/>
      <c r="C1742" s="53"/>
      <c r="D1742" s="53"/>
      <c r="E1742" s="53"/>
      <c r="F1742" s="53"/>
      <c r="G1742" s="53"/>
      <c r="H1742" s="53"/>
      <c r="I1742" s="53"/>
      <c r="J1742" s="53"/>
      <c r="K1742" s="53"/>
      <c r="L1742" s="53"/>
      <c r="M1742" s="53"/>
    </row>
    <row r="1743" spans="2:13">
      <c r="B1743" s="53"/>
      <c r="C1743" s="53"/>
      <c r="D1743" s="53"/>
      <c r="E1743" s="53"/>
      <c r="F1743" s="53"/>
      <c r="G1743" s="53"/>
      <c r="H1743" s="53"/>
      <c r="I1743" s="53"/>
      <c r="J1743" s="53"/>
      <c r="K1743" s="53"/>
      <c r="L1743" s="53"/>
      <c r="M1743" s="53"/>
    </row>
    <row r="1744" spans="2:13">
      <c r="B1744" s="53"/>
      <c r="C1744" s="53"/>
      <c r="D1744" s="53"/>
      <c r="E1744" s="53"/>
      <c r="F1744" s="53"/>
      <c r="G1744" s="53"/>
      <c r="H1744" s="53"/>
      <c r="I1744" s="53"/>
      <c r="J1744" s="53"/>
      <c r="K1744" s="53"/>
      <c r="L1744" s="53"/>
      <c r="M1744" s="53"/>
    </row>
    <row r="1745" spans="2:13">
      <c r="B1745" s="53"/>
      <c r="C1745" s="53"/>
      <c r="D1745" s="53"/>
      <c r="E1745" s="53"/>
      <c r="F1745" s="53"/>
      <c r="G1745" s="53"/>
      <c r="H1745" s="53"/>
      <c r="I1745" s="53"/>
      <c r="J1745" s="53"/>
      <c r="K1745" s="53"/>
      <c r="L1745" s="53"/>
      <c r="M1745" s="53"/>
    </row>
    <row r="1746" spans="2:13">
      <c r="B1746" s="53"/>
      <c r="C1746" s="53"/>
      <c r="D1746" s="53"/>
      <c r="E1746" s="53"/>
      <c r="F1746" s="53"/>
      <c r="G1746" s="53"/>
      <c r="H1746" s="53"/>
      <c r="I1746" s="53"/>
      <c r="J1746" s="53"/>
      <c r="K1746" s="53"/>
      <c r="L1746" s="53"/>
      <c r="M1746" s="53"/>
    </row>
    <row r="1747" spans="2:13">
      <c r="B1747" s="53"/>
      <c r="C1747" s="53"/>
      <c r="D1747" s="53"/>
      <c r="E1747" s="53"/>
      <c r="F1747" s="53"/>
      <c r="G1747" s="53"/>
      <c r="H1747" s="53"/>
      <c r="I1747" s="53"/>
      <c r="J1747" s="53"/>
      <c r="K1747" s="53"/>
      <c r="L1747" s="53"/>
      <c r="M1747" s="53"/>
    </row>
    <row r="1748" spans="2:13">
      <c r="B1748" s="53"/>
      <c r="C1748" s="53"/>
      <c r="D1748" s="53"/>
      <c r="E1748" s="53"/>
      <c r="F1748" s="53"/>
      <c r="G1748" s="53"/>
      <c r="H1748" s="53"/>
      <c r="I1748" s="53"/>
      <c r="J1748" s="53"/>
      <c r="K1748" s="53"/>
      <c r="L1748" s="53"/>
      <c r="M1748" s="53"/>
    </row>
    <row r="1749" spans="2:13">
      <c r="B1749" s="53"/>
      <c r="C1749" s="53"/>
      <c r="D1749" s="53"/>
      <c r="E1749" s="53"/>
      <c r="F1749" s="53"/>
      <c r="G1749" s="53"/>
      <c r="H1749" s="53"/>
      <c r="I1749" s="53"/>
      <c r="J1749" s="53"/>
      <c r="K1749" s="53"/>
      <c r="L1749" s="53"/>
      <c r="M1749" s="53"/>
    </row>
    <row r="1750" spans="2:13">
      <c r="B1750" s="53"/>
      <c r="C1750" s="53"/>
      <c r="D1750" s="53"/>
      <c r="E1750" s="53"/>
      <c r="F1750" s="53"/>
      <c r="G1750" s="53"/>
      <c r="H1750" s="53"/>
      <c r="I1750" s="53"/>
      <c r="J1750" s="53"/>
      <c r="K1750" s="53"/>
      <c r="L1750" s="53"/>
      <c r="M1750" s="53"/>
    </row>
    <row r="1751" spans="2:13">
      <c r="B1751" s="53"/>
      <c r="C1751" s="53"/>
      <c r="D1751" s="53"/>
      <c r="E1751" s="53"/>
      <c r="F1751" s="53"/>
      <c r="G1751" s="53"/>
      <c r="H1751" s="53"/>
      <c r="I1751" s="53"/>
      <c r="J1751" s="53"/>
      <c r="K1751" s="53"/>
      <c r="L1751" s="53"/>
      <c r="M1751" s="53"/>
    </row>
    <row r="1752" spans="2:13">
      <c r="B1752" s="53"/>
      <c r="C1752" s="53"/>
      <c r="D1752" s="53"/>
      <c r="E1752" s="53"/>
      <c r="F1752" s="53"/>
      <c r="G1752" s="53"/>
      <c r="H1752" s="53"/>
      <c r="I1752" s="53"/>
      <c r="J1752" s="53"/>
      <c r="K1752" s="53"/>
      <c r="L1752" s="53"/>
      <c r="M1752" s="53"/>
    </row>
    <row r="1753" spans="2:13">
      <c r="B1753" s="53"/>
      <c r="C1753" s="53"/>
      <c r="D1753" s="53"/>
      <c r="E1753" s="53"/>
      <c r="F1753" s="53"/>
      <c r="G1753" s="53"/>
      <c r="H1753" s="53"/>
      <c r="I1753" s="53"/>
      <c r="J1753" s="53"/>
      <c r="K1753" s="53"/>
      <c r="L1753" s="53"/>
      <c r="M1753" s="53"/>
    </row>
    <row r="1754" spans="2:13">
      <c r="B1754" s="53"/>
      <c r="C1754" s="53"/>
      <c r="D1754" s="53"/>
      <c r="E1754" s="53"/>
      <c r="F1754" s="53"/>
      <c r="G1754" s="53"/>
      <c r="H1754" s="53"/>
      <c r="I1754" s="53"/>
      <c r="J1754" s="53"/>
      <c r="K1754" s="53"/>
      <c r="L1754" s="53"/>
      <c r="M1754" s="53"/>
    </row>
    <row r="1755" spans="2:13">
      <c r="B1755" s="53"/>
      <c r="C1755" s="53"/>
      <c r="D1755" s="53"/>
      <c r="E1755" s="53"/>
      <c r="F1755" s="53"/>
      <c r="G1755" s="53"/>
      <c r="H1755" s="53"/>
      <c r="I1755" s="53"/>
      <c r="J1755" s="53"/>
      <c r="K1755" s="53"/>
      <c r="L1755" s="53"/>
      <c r="M1755" s="53"/>
    </row>
    <row r="1756" spans="2:13">
      <c r="B1756" s="53"/>
      <c r="C1756" s="53"/>
      <c r="D1756" s="53"/>
      <c r="E1756" s="53"/>
      <c r="F1756" s="53"/>
      <c r="G1756" s="53"/>
      <c r="H1756" s="53"/>
      <c r="I1756" s="53"/>
      <c r="J1756" s="53"/>
      <c r="K1756" s="53"/>
      <c r="L1756" s="53"/>
      <c r="M1756" s="53"/>
    </row>
    <row r="1757" spans="2:13">
      <c r="B1757" s="53"/>
      <c r="C1757" s="53"/>
      <c r="D1757" s="53"/>
      <c r="E1757" s="53"/>
      <c r="F1757" s="53"/>
      <c r="G1757" s="53"/>
      <c r="H1757" s="53"/>
      <c r="I1757" s="53"/>
      <c r="J1757" s="53"/>
      <c r="K1757" s="53"/>
      <c r="L1757" s="53"/>
      <c r="M1757" s="53"/>
    </row>
    <row r="1758" spans="2:13">
      <c r="B1758" s="53"/>
      <c r="C1758" s="53"/>
      <c r="D1758" s="53"/>
      <c r="E1758" s="53"/>
      <c r="F1758" s="53"/>
      <c r="G1758" s="53"/>
      <c r="H1758" s="53"/>
      <c r="I1758" s="53"/>
      <c r="J1758" s="53"/>
      <c r="K1758" s="53"/>
      <c r="L1758" s="53"/>
      <c r="M1758" s="53"/>
    </row>
    <row r="1759" spans="2:13">
      <c r="B1759" s="53"/>
      <c r="C1759" s="53"/>
      <c r="D1759" s="53"/>
      <c r="E1759" s="53"/>
      <c r="F1759" s="53"/>
      <c r="G1759" s="53"/>
      <c r="H1759" s="53"/>
      <c r="I1759" s="53"/>
      <c r="J1759" s="53"/>
      <c r="K1759" s="53"/>
      <c r="L1759" s="53"/>
      <c r="M1759" s="53"/>
    </row>
    <row r="1760" spans="2:13">
      <c r="B1760" s="53"/>
      <c r="C1760" s="53"/>
      <c r="D1760" s="53"/>
      <c r="E1760" s="53"/>
      <c r="F1760" s="53"/>
      <c r="G1760" s="53"/>
      <c r="H1760" s="53"/>
      <c r="I1760" s="53"/>
      <c r="J1760" s="53"/>
      <c r="K1760" s="53"/>
      <c r="L1760" s="53"/>
      <c r="M1760" s="53"/>
    </row>
    <row r="1761" spans="2:13">
      <c r="B1761" s="53"/>
      <c r="C1761" s="53"/>
      <c r="D1761" s="53"/>
      <c r="E1761" s="53"/>
      <c r="F1761" s="53"/>
      <c r="G1761" s="53"/>
      <c r="H1761" s="53"/>
      <c r="I1761" s="53"/>
      <c r="J1761" s="53"/>
      <c r="K1761" s="53"/>
      <c r="L1761" s="53"/>
      <c r="M1761" s="53"/>
    </row>
    <row r="1762" spans="2:13">
      <c r="B1762" s="53"/>
      <c r="C1762" s="53"/>
      <c r="D1762" s="53"/>
      <c r="E1762" s="53"/>
      <c r="F1762" s="53"/>
      <c r="G1762" s="53"/>
      <c r="H1762" s="53"/>
      <c r="I1762" s="53"/>
      <c r="J1762" s="53"/>
      <c r="K1762" s="53"/>
      <c r="L1762" s="53"/>
      <c r="M1762" s="53"/>
    </row>
    <row r="1763" spans="2:13">
      <c r="B1763" s="53"/>
      <c r="C1763" s="53"/>
      <c r="D1763" s="53"/>
      <c r="E1763" s="53"/>
      <c r="F1763" s="53"/>
      <c r="G1763" s="53"/>
      <c r="H1763" s="53"/>
      <c r="I1763" s="53"/>
      <c r="J1763" s="53"/>
      <c r="K1763" s="53"/>
      <c r="L1763" s="53"/>
      <c r="M1763" s="53"/>
    </row>
    <row r="1764" spans="2:13">
      <c r="B1764" s="53"/>
      <c r="C1764" s="53"/>
      <c r="D1764" s="53"/>
      <c r="E1764" s="53"/>
      <c r="F1764" s="53"/>
      <c r="G1764" s="53"/>
      <c r="H1764" s="53"/>
      <c r="I1764" s="53"/>
      <c r="J1764" s="53"/>
      <c r="K1764" s="53"/>
      <c r="L1764" s="53"/>
      <c r="M1764" s="53"/>
    </row>
    <row r="1765" spans="2:13">
      <c r="B1765" s="53"/>
      <c r="C1765" s="53"/>
      <c r="D1765" s="53"/>
      <c r="E1765" s="53"/>
      <c r="F1765" s="53"/>
      <c r="G1765" s="53"/>
      <c r="H1765" s="53"/>
      <c r="I1765" s="53"/>
      <c r="J1765" s="53"/>
      <c r="K1765" s="53"/>
      <c r="L1765" s="53"/>
      <c r="M1765" s="53"/>
    </row>
    <row r="1766" spans="2:13">
      <c r="B1766" s="53"/>
      <c r="C1766" s="53"/>
      <c r="D1766" s="53"/>
      <c r="E1766" s="53"/>
      <c r="F1766" s="53"/>
      <c r="G1766" s="53"/>
      <c r="H1766" s="53"/>
      <c r="I1766" s="53"/>
      <c r="J1766" s="53"/>
      <c r="K1766" s="53"/>
      <c r="L1766" s="53"/>
      <c r="M1766" s="53"/>
    </row>
    <row r="1767" spans="2:13">
      <c r="B1767" s="53"/>
      <c r="C1767" s="53"/>
      <c r="D1767" s="53"/>
      <c r="E1767" s="53"/>
      <c r="F1767" s="53"/>
      <c r="G1767" s="53"/>
      <c r="H1767" s="53"/>
      <c r="I1767" s="53"/>
      <c r="J1767" s="53"/>
      <c r="K1767" s="53"/>
      <c r="L1767" s="53"/>
      <c r="M1767" s="53"/>
    </row>
    <row r="1768" spans="2:13">
      <c r="B1768" s="53"/>
      <c r="C1768" s="53"/>
      <c r="D1768" s="53"/>
      <c r="E1768" s="53"/>
      <c r="F1768" s="53"/>
      <c r="G1768" s="53"/>
      <c r="H1768" s="53"/>
      <c r="I1768" s="53"/>
      <c r="J1768" s="53"/>
      <c r="K1768" s="53"/>
      <c r="L1768" s="53"/>
      <c r="M1768" s="53"/>
    </row>
    <row r="1769" spans="2:13">
      <c r="B1769" s="53"/>
      <c r="C1769" s="53"/>
      <c r="D1769" s="53"/>
      <c r="E1769" s="53"/>
      <c r="F1769" s="53"/>
      <c r="G1769" s="53"/>
      <c r="H1769" s="53"/>
      <c r="I1769" s="53"/>
      <c r="J1769" s="53"/>
      <c r="K1769" s="53"/>
      <c r="L1769" s="53"/>
      <c r="M1769" s="53"/>
    </row>
    <row r="1770" spans="2:13">
      <c r="B1770" s="53"/>
      <c r="C1770" s="53"/>
      <c r="D1770" s="53"/>
      <c r="E1770" s="53"/>
      <c r="F1770" s="53"/>
      <c r="G1770" s="53"/>
      <c r="H1770" s="53"/>
      <c r="I1770" s="53"/>
      <c r="J1770" s="53"/>
      <c r="K1770" s="53"/>
      <c r="L1770" s="53"/>
      <c r="M1770" s="53"/>
    </row>
    <row r="1771" spans="2:13">
      <c r="B1771" s="53"/>
      <c r="C1771" s="53"/>
      <c r="D1771" s="53"/>
      <c r="E1771" s="53"/>
      <c r="F1771" s="53"/>
      <c r="G1771" s="53"/>
      <c r="H1771" s="53"/>
      <c r="I1771" s="53"/>
      <c r="J1771" s="53"/>
      <c r="K1771" s="53"/>
      <c r="L1771" s="53"/>
      <c r="M1771" s="53"/>
    </row>
    <row r="1772" spans="2:13">
      <c r="B1772" s="53"/>
      <c r="C1772" s="53"/>
      <c r="D1772" s="53"/>
      <c r="E1772" s="53"/>
      <c r="F1772" s="53"/>
      <c r="G1772" s="53"/>
      <c r="H1772" s="53"/>
      <c r="I1772" s="53"/>
      <c r="J1772" s="53"/>
      <c r="K1772" s="53"/>
      <c r="L1772" s="53"/>
      <c r="M1772" s="53"/>
    </row>
    <row r="1773" spans="2:13">
      <c r="B1773" s="53"/>
      <c r="C1773" s="53"/>
      <c r="D1773" s="53"/>
      <c r="E1773" s="53"/>
      <c r="F1773" s="53"/>
      <c r="G1773" s="53"/>
      <c r="H1773" s="53"/>
      <c r="I1773" s="53"/>
      <c r="J1773" s="53"/>
      <c r="K1773" s="53"/>
      <c r="L1773" s="53"/>
      <c r="M1773" s="53"/>
    </row>
    <row r="1774" spans="2:13">
      <c r="B1774" s="53"/>
      <c r="C1774" s="53"/>
      <c r="D1774" s="53"/>
      <c r="E1774" s="53"/>
      <c r="F1774" s="53"/>
      <c r="G1774" s="53"/>
      <c r="H1774" s="53"/>
      <c r="I1774" s="53"/>
      <c r="J1774" s="53"/>
      <c r="K1774" s="53"/>
      <c r="L1774" s="53"/>
      <c r="M1774" s="53"/>
    </row>
    <row r="1775" spans="2:13">
      <c r="B1775" s="53"/>
      <c r="C1775" s="53"/>
      <c r="D1775" s="53"/>
      <c r="E1775" s="53"/>
      <c r="F1775" s="53"/>
      <c r="G1775" s="53"/>
      <c r="H1775" s="53"/>
      <c r="I1775" s="53"/>
      <c r="J1775" s="53"/>
      <c r="K1775" s="53"/>
      <c r="L1775" s="53"/>
      <c r="M1775" s="53"/>
    </row>
    <row r="1776" spans="2:13">
      <c r="B1776" s="53"/>
      <c r="C1776" s="53"/>
      <c r="D1776" s="53"/>
      <c r="E1776" s="53"/>
      <c r="F1776" s="53"/>
      <c r="G1776" s="53"/>
      <c r="H1776" s="53"/>
      <c r="I1776" s="53"/>
      <c r="J1776" s="53"/>
      <c r="K1776" s="53"/>
      <c r="L1776" s="53"/>
      <c r="M1776" s="53"/>
    </row>
    <row r="1777" spans="2:13">
      <c r="B1777" s="53"/>
      <c r="C1777" s="53"/>
      <c r="D1777" s="53"/>
      <c r="E1777" s="53"/>
      <c r="F1777" s="53"/>
      <c r="G1777" s="53"/>
      <c r="H1777" s="53"/>
      <c r="I1777" s="53"/>
      <c r="J1777" s="53"/>
      <c r="K1777" s="53"/>
      <c r="L1777" s="53"/>
      <c r="M1777" s="53"/>
    </row>
    <row r="1778" spans="2:13">
      <c r="B1778" s="53"/>
      <c r="C1778" s="53"/>
      <c r="D1778" s="53"/>
      <c r="E1778" s="53"/>
      <c r="F1778" s="53"/>
      <c r="G1778" s="53"/>
      <c r="H1778" s="53"/>
      <c r="I1778" s="53"/>
      <c r="J1778" s="53"/>
      <c r="K1778" s="53"/>
      <c r="L1778" s="53"/>
      <c r="M1778" s="53"/>
    </row>
    <row r="1779" spans="2:13">
      <c r="B1779" s="53"/>
      <c r="C1779" s="53"/>
      <c r="D1779" s="53"/>
      <c r="E1779" s="53"/>
      <c r="F1779" s="53"/>
      <c r="G1779" s="53"/>
      <c r="H1779" s="53"/>
      <c r="I1779" s="53"/>
      <c r="J1779" s="53"/>
      <c r="K1779" s="53"/>
      <c r="L1779" s="53"/>
      <c r="M1779" s="53"/>
    </row>
    <row r="1780" spans="2:13">
      <c r="B1780" s="53"/>
      <c r="C1780" s="53"/>
      <c r="D1780" s="53"/>
      <c r="E1780" s="53"/>
      <c r="F1780" s="53"/>
      <c r="G1780" s="53"/>
      <c r="H1780" s="53"/>
      <c r="I1780" s="53"/>
      <c r="J1780" s="53"/>
      <c r="K1780" s="53"/>
      <c r="L1780" s="53"/>
      <c r="M1780" s="53"/>
    </row>
    <row r="1781" spans="2:13">
      <c r="B1781" s="53"/>
      <c r="C1781" s="53"/>
      <c r="D1781" s="53"/>
      <c r="E1781" s="53"/>
      <c r="F1781" s="53"/>
      <c r="G1781" s="53"/>
      <c r="H1781" s="53"/>
      <c r="I1781" s="53"/>
      <c r="J1781" s="53"/>
      <c r="K1781" s="53"/>
      <c r="L1781" s="53"/>
      <c r="M1781" s="53"/>
    </row>
    <row r="1782" spans="2:13">
      <c r="B1782" s="53"/>
      <c r="C1782" s="53"/>
      <c r="D1782" s="53"/>
      <c r="E1782" s="53"/>
      <c r="F1782" s="53"/>
      <c r="G1782" s="53"/>
      <c r="H1782" s="53"/>
      <c r="I1782" s="53"/>
      <c r="J1782" s="53"/>
      <c r="K1782" s="53"/>
      <c r="L1782" s="53"/>
      <c r="M1782" s="53"/>
    </row>
    <row r="1783" spans="2:13">
      <c r="B1783" s="53"/>
      <c r="C1783" s="53"/>
      <c r="D1783" s="53"/>
      <c r="E1783" s="53"/>
      <c r="F1783" s="53"/>
      <c r="G1783" s="53"/>
      <c r="H1783" s="53"/>
      <c r="I1783" s="53"/>
      <c r="J1783" s="53"/>
      <c r="K1783" s="53"/>
      <c r="L1783" s="53"/>
      <c r="M1783" s="53"/>
    </row>
    <row r="1784" spans="2:13">
      <c r="B1784" s="53"/>
      <c r="C1784" s="53"/>
      <c r="D1784" s="53"/>
      <c r="E1784" s="53"/>
      <c r="F1784" s="53"/>
      <c r="G1784" s="53"/>
      <c r="H1784" s="53"/>
      <c r="I1784" s="53"/>
      <c r="J1784" s="53"/>
      <c r="K1784" s="53"/>
      <c r="L1784" s="53"/>
      <c r="M1784" s="53"/>
    </row>
    <row r="1785" spans="2:13">
      <c r="B1785" s="53"/>
      <c r="C1785" s="53"/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</row>
    <row r="1786" spans="2:13">
      <c r="B1786" s="53"/>
      <c r="C1786" s="53"/>
      <c r="D1786" s="53"/>
      <c r="E1786" s="53"/>
      <c r="F1786" s="53"/>
      <c r="G1786" s="53"/>
      <c r="H1786" s="53"/>
      <c r="I1786" s="53"/>
      <c r="J1786" s="53"/>
      <c r="K1786" s="53"/>
      <c r="L1786" s="53"/>
      <c r="M1786" s="53"/>
    </row>
    <row r="1787" spans="2:13">
      <c r="B1787" s="53"/>
      <c r="C1787" s="53"/>
      <c r="D1787" s="53"/>
      <c r="E1787" s="53"/>
      <c r="F1787" s="53"/>
      <c r="G1787" s="53"/>
      <c r="H1787" s="53"/>
      <c r="I1787" s="53"/>
      <c r="J1787" s="53"/>
      <c r="K1787" s="53"/>
      <c r="L1787" s="53"/>
      <c r="M1787" s="53"/>
    </row>
    <row r="1788" spans="2:13">
      <c r="B1788" s="53"/>
      <c r="C1788" s="53"/>
      <c r="D1788" s="53"/>
      <c r="E1788" s="53"/>
      <c r="F1788" s="53"/>
      <c r="G1788" s="53"/>
      <c r="H1788" s="53"/>
      <c r="I1788" s="53"/>
      <c r="J1788" s="53"/>
      <c r="K1788" s="53"/>
      <c r="L1788" s="53"/>
      <c r="M1788" s="53"/>
    </row>
    <row r="1789" spans="2:13">
      <c r="B1789" s="53"/>
      <c r="C1789" s="53"/>
      <c r="D1789" s="53"/>
      <c r="E1789" s="53"/>
      <c r="F1789" s="53"/>
      <c r="G1789" s="53"/>
      <c r="H1789" s="53"/>
      <c r="I1789" s="53"/>
      <c r="J1789" s="53"/>
      <c r="K1789" s="53"/>
      <c r="L1789" s="53"/>
      <c r="M1789" s="53"/>
    </row>
    <row r="1790" spans="2:13"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</row>
    <row r="1791" spans="2:13">
      <c r="B1791" s="53"/>
      <c r="C1791" s="53"/>
      <c r="D1791" s="53"/>
      <c r="E1791" s="53"/>
      <c r="F1791" s="53"/>
      <c r="G1791" s="53"/>
      <c r="H1791" s="53"/>
      <c r="I1791" s="53"/>
      <c r="J1791" s="53"/>
      <c r="K1791" s="53"/>
      <c r="L1791" s="53"/>
      <c r="M1791" s="53"/>
    </row>
    <row r="1792" spans="2:13">
      <c r="B1792" s="53"/>
      <c r="C1792" s="53"/>
      <c r="D1792" s="53"/>
      <c r="E1792" s="53"/>
      <c r="F1792" s="53"/>
      <c r="G1792" s="53"/>
      <c r="H1792" s="53"/>
      <c r="I1792" s="53"/>
      <c r="J1792" s="53"/>
      <c r="K1792" s="53"/>
      <c r="L1792" s="53"/>
      <c r="M1792" s="53"/>
    </row>
    <row r="1793" spans="2:13">
      <c r="B1793" s="53"/>
      <c r="C1793" s="53"/>
      <c r="D1793" s="53"/>
      <c r="E1793" s="53"/>
      <c r="F1793" s="53"/>
      <c r="G1793" s="53"/>
      <c r="H1793" s="53"/>
      <c r="I1793" s="53"/>
      <c r="J1793" s="53"/>
      <c r="K1793" s="53"/>
      <c r="L1793" s="53"/>
      <c r="M1793" s="53"/>
    </row>
    <row r="1794" spans="2:13">
      <c r="B1794" s="53"/>
      <c r="C1794" s="53"/>
      <c r="D1794" s="53"/>
      <c r="E1794" s="53"/>
      <c r="F1794" s="53"/>
      <c r="G1794" s="53"/>
      <c r="H1794" s="53"/>
      <c r="I1794" s="53"/>
      <c r="J1794" s="53"/>
      <c r="K1794" s="53"/>
      <c r="L1794" s="53"/>
      <c r="M1794" s="53"/>
    </row>
    <row r="1795" spans="2:13">
      <c r="B1795" s="53"/>
      <c r="C1795" s="53"/>
      <c r="D1795" s="53"/>
      <c r="E1795" s="53"/>
      <c r="F1795" s="53"/>
      <c r="G1795" s="53"/>
      <c r="H1795" s="53"/>
      <c r="I1795" s="53"/>
      <c r="J1795" s="53"/>
      <c r="K1795" s="53"/>
      <c r="L1795" s="53"/>
      <c r="M1795" s="53"/>
    </row>
    <row r="1796" spans="2:13">
      <c r="B1796" s="53"/>
      <c r="C1796" s="53"/>
      <c r="D1796" s="53"/>
      <c r="E1796" s="53"/>
      <c r="F1796" s="53"/>
      <c r="G1796" s="53"/>
      <c r="H1796" s="53"/>
      <c r="I1796" s="53"/>
      <c r="J1796" s="53"/>
      <c r="K1796" s="53"/>
      <c r="L1796" s="53"/>
      <c r="M1796" s="53"/>
    </row>
    <row r="1797" spans="2:13">
      <c r="B1797" s="53"/>
      <c r="C1797" s="53"/>
      <c r="D1797" s="53"/>
      <c r="E1797" s="53"/>
      <c r="F1797" s="53"/>
      <c r="G1797" s="53"/>
      <c r="H1797" s="53"/>
      <c r="I1797" s="53"/>
      <c r="J1797" s="53"/>
      <c r="K1797" s="53"/>
      <c r="L1797" s="53"/>
      <c r="M1797" s="53"/>
    </row>
    <row r="1798" spans="2:13">
      <c r="B1798" s="53"/>
      <c r="C1798" s="53"/>
      <c r="D1798" s="53"/>
      <c r="E1798" s="53"/>
      <c r="F1798" s="53"/>
      <c r="G1798" s="53"/>
      <c r="H1798" s="53"/>
      <c r="I1798" s="53"/>
      <c r="J1798" s="53"/>
      <c r="K1798" s="53"/>
      <c r="L1798" s="53"/>
      <c r="M1798" s="53"/>
    </row>
    <row r="1799" spans="2:13">
      <c r="B1799" s="53"/>
      <c r="C1799" s="53"/>
      <c r="D1799" s="53"/>
      <c r="E1799" s="53"/>
      <c r="F1799" s="53"/>
      <c r="G1799" s="53"/>
      <c r="H1799" s="53"/>
      <c r="I1799" s="53"/>
      <c r="J1799" s="53"/>
      <c r="K1799" s="53"/>
      <c r="L1799" s="53"/>
      <c r="M1799" s="53"/>
    </row>
    <row r="1800" spans="2:13">
      <c r="B1800" s="53"/>
      <c r="C1800" s="53"/>
      <c r="D1800" s="53"/>
      <c r="E1800" s="53"/>
      <c r="F1800" s="53"/>
      <c r="G1800" s="53"/>
      <c r="H1800" s="53"/>
      <c r="I1800" s="53"/>
      <c r="J1800" s="53"/>
      <c r="K1800" s="53"/>
      <c r="L1800" s="53"/>
      <c r="M1800" s="53"/>
    </row>
    <row r="1801" spans="2:13">
      <c r="B1801" s="53"/>
      <c r="C1801" s="53"/>
      <c r="D1801" s="53"/>
      <c r="E1801" s="53"/>
      <c r="F1801" s="53"/>
      <c r="G1801" s="53"/>
      <c r="H1801" s="53"/>
      <c r="I1801" s="53"/>
      <c r="J1801" s="53"/>
      <c r="K1801" s="53"/>
      <c r="L1801" s="53"/>
      <c r="M1801" s="53"/>
    </row>
    <row r="1802" spans="2:13">
      <c r="B1802" s="53"/>
      <c r="C1802" s="53"/>
      <c r="D1802" s="53"/>
      <c r="E1802" s="53"/>
      <c r="F1802" s="53"/>
      <c r="G1802" s="53"/>
      <c r="H1802" s="53"/>
      <c r="I1802" s="53"/>
      <c r="J1802" s="53"/>
      <c r="K1802" s="53"/>
      <c r="L1802" s="53"/>
      <c r="M1802" s="53"/>
    </row>
    <row r="1803" spans="2:13">
      <c r="B1803" s="53"/>
      <c r="C1803" s="53"/>
      <c r="D1803" s="53"/>
      <c r="E1803" s="53"/>
      <c r="F1803" s="53"/>
      <c r="G1803" s="53"/>
      <c r="H1803" s="53"/>
      <c r="I1803" s="53"/>
      <c r="J1803" s="53"/>
      <c r="K1803" s="53"/>
      <c r="L1803" s="53"/>
      <c r="M1803" s="53"/>
    </row>
    <row r="1804" spans="2:13">
      <c r="B1804" s="53"/>
      <c r="C1804" s="53"/>
      <c r="D1804" s="53"/>
      <c r="E1804" s="53"/>
      <c r="F1804" s="53"/>
      <c r="G1804" s="53"/>
      <c r="H1804" s="53"/>
      <c r="I1804" s="53"/>
      <c r="J1804" s="53"/>
      <c r="K1804" s="53"/>
      <c r="L1804" s="53"/>
      <c r="M1804" s="53"/>
    </row>
    <row r="1805" spans="2:13">
      <c r="B1805" s="53"/>
      <c r="C1805" s="53"/>
      <c r="D1805" s="53"/>
      <c r="E1805" s="53"/>
      <c r="F1805" s="53"/>
      <c r="G1805" s="53"/>
      <c r="H1805" s="53"/>
      <c r="I1805" s="53"/>
      <c r="J1805" s="53"/>
      <c r="K1805" s="53"/>
      <c r="L1805" s="53"/>
      <c r="M1805" s="53"/>
    </row>
    <row r="1806" spans="2:13">
      <c r="B1806" s="53"/>
      <c r="C1806" s="53"/>
      <c r="D1806" s="53"/>
      <c r="E1806" s="53"/>
      <c r="F1806" s="53"/>
      <c r="G1806" s="53"/>
      <c r="H1806" s="53"/>
      <c r="I1806" s="53"/>
      <c r="J1806" s="53"/>
      <c r="K1806" s="53"/>
      <c r="L1806" s="53"/>
      <c r="M1806" s="53"/>
    </row>
    <row r="1807" spans="2:13">
      <c r="B1807" s="53"/>
      <c r="C1807" s="53"/>
      <c r="D1807" s="53"/>
      <c r="E1807" s="53"/>
      <c r="F1807" s="53"/>
      <c r="G1807" s="53"/>
      <c r="H1807" s="53"/>
      <c r="I1807" s="53"/>
      <c r="J1807" s="53"/>
      <c r="K1807" s="53"/>
      <c r="L1807" s="53"/>
      <c r="M1807" s="53"/>
    </row>
    <row r="1808" spans="2:13">
      <c r="B1808" s="53"/>
      <c r="C1808" s="53"/>
      <c r="D1808" s="53"/>
      <c r="E1808" s="53"/>
      <c r="F1808" s="53"/>
      <c r="G1808" s="53"/>
      <c r="H1808" s="53"/>
      <c r="I1808" s="53"/>
      <c r="J1808" s="53"/>
      <c r="K1808" s="53"/>
      <c r="L1808" s="53"/>
      <c r="M1808" s="53"/>
    </row>
    <row r="1809" spans="2:13">
      <c r="B1809" s="53"/>
      <c r="C1809" s="53"/>
      <c r="D1809" s="53"/>
      <c r="E1809" s="53"/>
      <c r="F1809" s="53"/>
      <c r="G1809" s="53"/>
      <c r="H1809" s="53"/>
      <c r="I1809" s="53"/>
      <c r="J1809" s="53"/>
      <c r="K1809" s="53"/>
      <c r="L1809" s="53"/>
      <c r="M1809" s="53"/>
    </row>
    <row r="1810" spans="2:13">
      <c r="B1810" s="53"/>
      <c r="C1810" s="53"/>
      <c r="D1810" s="53"/>
      <c r="E1810" s="53"/>
      <c r="F1810" s="53"/>
      <c r="G1810" s="53"/>
      <c r="H1810" s="53"/>
      <c r="I1810" s="53"/>
      <c r="J1810" s="53"/>
      <c r="K1810" s="53"/>
      <c r="L1810" s="53"/>
      <c r="M1810" s="53"/>
    </row>
    <row r="1811" spans="2:13">
      <c r="B1811" s="53"/>
      <c r="C1811" s="53"/>
      <c r="D1811" s="53"/>
      <c r="E1811" s="53"/>
      <c r="F1811" s="53"/>
      <c r="G1811" s="53"/>
      <c r="H1811" s="53"/>
      <c r="I1811" s="53"/>
      <c r="J1811" s="53"/>
      <c r="K1811" s="53"/>
      <c r="L1811" s="53"/>
      <c r="M1811" s="53"/>
    </row>
    <row r="1812" spans="2:13">
      <c r="B1812" s="53"/>
      <c r="C1812" s="53"/>
      <c r="D1812" s="53"/>
      <c r="E1812" s="53"/>
      <c r="F1812" s="53"/>
      <c r="G1812" s="53"/>
      <c r="H1812" s="53"/>
      <c r="I1812" s="53"/>
      <c r="J1812" s="53"/>
      <c r="K1812" s="53"/>
      <c r="L1812" s="53"/>
      <c r="M1812" s="53"/>
    </row>
    <row r="1813" spans="2:13">
      <c r="B1813" s="53"/>
      <c r="C1813" s="53"/>
      <c r="D1813" s="53"/>
      <c r="E1813" s="53"/>
      <c r="F1813" s="53"/>
      <c r="G1813" s="53"/>
      <c r="H1813" s="53"/>
      <c r="I1813" s="53"/>
      <c r="J1813" s="53"/>
      <c r="K1813" s="53"/>
      <c r="L1813" s="53"/>
      <c r="M1813" s="53"/>
    </row>
    <row r="1814" spans="2:13">
      <c r="B1814" s="53"/>
      <c r="C1814" s="53"/>
      <c r="D1814" s="53"/>
      <c r="E1814" s="53"/>
      <c r="F1814" s="53"/>
      <c r="G1814" s="53"/>
      <c r="H1814" s="53"/>
      <c r="I1814" s="53"/>
      <c r="J1814" s="53"/>
      <c r="K1814" s="53"/>
      <c r="L1814" s="53"/>
      <c r="M1814" s="53"/>
    </row>
    <row r="1815" spans="2:13">
      <c r="B1815" s="53"/>
      <c r="C1815" s="53"/>
      <c r="D1815" s="53"/>
      <c r="E1815" s="53"/>
      <c r="F1815" s="53"/>
      <c r="G1815" s="53"/>
      <c r="H1815" s="53"/>
      <c r="I1815" s="53"/>
      <c r="J1815" s="53"/>
      <c r="K1815" s="53"/>
      <c r="L1815" s="53"/>
      <c r="M1815" s="53"/>
    </row>
    <row r="1816" spans="2:13">
      <c r="B1816" s="53"/>
      <c r="C1816" s="53"/>
      <c r="D1816" s="53"/>
      <c r="E1816" s="53"/>
      <c r="F1816" s="53"/>
      <c r="G1816" s="53"/>
      <c r="H1816" s="53"/>
      <c r="I1816" s="53"/>
      <c r="J1816" s="53"/>
      <c r="K1816" s="53"/>
      <c r="L1816" s="53"/>
      <c r="M1816" s="53"/>
    </row>
    <row r="1817" spans="2:13">
      <c r="B1817" s="53"/>
      <c r="C1817" s="53"/>
      <c r="D1817" s="53"/>
      <c r="E1817" s="53"/>
      <c r="F1817" s="53"/>
      <c r="G1817" s="53"/>
      <c r="H1817" s="53"/>
      <c r="I1817" s="53"/>
      <c r="J1817" s="53"/>
      <c r="K1817" s="53"/>
      <c r="L1817" s="53"/>
      <c r="M1817" s="53"/>
    </row>
    <row r="1818" spans="2:13">
      <c r="B1818" s="53"/>
      <c r="C1818" s="53"/>
      <c r="D1818" s="53"/>
      <c r="E1818" s="53"/>
      <c r="F1818" s="53"/>
      <c r="G1818" s="53"/>
      <c r="H1818" s="53"/>
      <c r="I1818" s="53"/>
      <c r="J1818" s="53"/>
      <c r="K1818" s="53"/>
      <c r="L1818" s="53"/>
      <c r="M1818" s="53"/>
    </row>
    <row r="1819" spans="2:13">
      <c r="B1819" s="53"/>
      <c r="C1819" s="53"/>
      <c r="D1819" s="53"/>
      <c r="E1819" s="53"/>
      <c r="F1819" s="53"/>
      <c r="G1819" s="53"/>
      <c r="H1819" s="53"/>
      <c r="I1819" s="53"/>
      <c r="J1819" s="53"/>
      <c r="K1819" s="53"/>
      <c r="L1819" s="53"/>
      <c r="M1819" s="53"/>
    </row>
    <row r="1820" spans="2:13">
      <c r="B1820" s="53"/>
      <c r="C1820" s="53"/>
      <c r="D1820" s="53"/>
      <c r="E1820" s="53"/>
      <c r="F1820" s="53"/>
      <c r="G1820" s="53"/>
      <c r="H1820" s="53"/>
      <c r="I1820" s="53"/>
      <c r="J1820" s="53"/>
      <c r="K1820" s="53"/>
      <c r="L1820" s="53"/>
      <c r="M1820" s="53"/>
    </row>
    <row r="1821" spans="2:13">
      <c r="B1821" s="53"/>
      <c r="C1821" s="53"/>
      <c r="D1821" s="53"/>
      <c r="E1821" s="53"/>
      <c r="F1821" s="53"/>
      <c r="G1821" s="53"/>
      <c r="H1821" s="53"/>
      <c r="I1821" s="53"/>
      <c r="J1821" s="53"/>
      <c r="K1821" s="53"/>
      <c r="L1821" s="53"/>
      <c r="M1821" s="53"/>
    </row>
    <row r="1822" spans="2:13">
      <c r="B1822" s="53"/>
      <c r="C1822" s="53"/>
      <c r="D1822" s="53"/>
      <c r="E1822" s="53"/>
      <c r="F1822" s="53"/>
      <c r="G1822" s="53"/>
      <c r="H1822" s="53"/>
      <c r="I1822" s="53"/>
      <c r="J1822" s="53"/>
      <c r="K1822" s="53"/>
      <c r="L1822" s="53"/>
      <c r="M1822" s="53"/>
    </row>
    <row r="1823" spans="2:13">
      <c r="B1823" s="53"/>
      <c r="C1823" s="53"/>
      <c r="D1823" s="53"/>
      <c r="E1823" s="53"/>
      <c r="F1823" s="53"/>
      <c r="G1823" s="53"/>
      <c r="H1823" s="53"/>
      <c r="I1823" s="53"/>
      <c r="J1823" s="53"/>
      <c r="K1823" s="53"/>
      <c r="L1823" s="53"/>
      <c r="M1823" s="53"/>
    </row>
    <row r="1824" spans="2:13">
      <c r="B1824" s="53"/>
      <c r="C1824" s="53"/>
      <c r="D1824" s="53"/>
      <c r="E1824" s="53"/>
      <c r="F1824" s="53"/>
      <c r="G1824" s="53"/>
      <c r="H1824" s="53"/>
      <c r="I1824" s="53"/>
      <c r="J1824" s="53"/>
      <c r="K1824" s="53"/>
      <c r="L1824" s="53"/>
      <c r="M1824" s="53"/>
    </row>
    <row r="1825" spans="2:13">
      <c r="B1825" s="53"/>
      <c r="C1825" s="53"/>
      <c r="D1825" s="53"/>
      <c r="E1825" s="53"/>
      <c r="F1825" s="53"/>
      <c r="G1825" s="53"/>
      <c r="H1825" s="53"/>
      <c r="I1825" s="53"/>
      <c r="J1825" s="53"/>
      <c r="K1825" s="53"/>
      <c r="L1825" s="53"/>
      <c r="M1825" s="53"/>
    </row>
    <row r="1826" spans="2:13">
      <c r="B1826" s="53"/>
      <c r="C1826" s="53"/>
      <c r="D1826" s="53"/>
      <c r="E1826" s="53"/>
      <c r="F1826" s="53"/>
      <c r="G1826" s="53"/>
      <c r="H1826" s="53"/>
      <c r="I1826" s="53"/>
      <c r="J1826" s="53"/>
      <c r="K1826" s="53"/>
      <c r="L1826" s="53"/>
      <c r="M1826" s="53"/>
    </row>
    <row r="1827" spans="2:13">
      <c r="B1827" s="53"/>
      <c r="C1827" s="53"/>
      <c r="D1827" s="53"/>
      <c r="E1827" s="53"/>
      <c r="F1827" s="53"/>
      <c r="G1827" s="53"/>
      <c r="H1827" s="53"/>
      <c r="I1827" s="53"/>
      <c r="J1827" s="53"/>
      <c r="K1827" s="53"/>
      <c r="L1827" s="53"/>
      <c r="M1827" s="53"/>
    </row>
    <row r="1828" spans="2:13">
      <c r="B1828" s="53"/>
      <c r="C1828" s="53"/>
      <c r="D1828" s="53"/>
      <c r="E1828" s="53"/>
      <c r="F1828" s="53"/>
      <c r="G1828" s="53"/>
      <c r="H1828" s="53"/>
      <c r="I1828" s="53"/>
      <c r="J1828" s="53"/>
      <c r="K1828" s="53"/>
      <c r="L1828" s="53"/>
      <c r="M1828" s="53"/>
    </row>
    <row r="1829" spans="2:13">
      <c r="B1829" s="53"/>
      <c r="C1829" s="53"/>
      <c r="D1829" s="53"/>
      <c r="E1829" s="53"/>
      <c r="F1829" s="53"/>
      <c r="G1829" s="53"/>
      <c r="H1829" s="53"/>
      <c r="I1829" s="53"/>
      <c r="J1829" s="53"/>
      <c r="K1829" s="53"/>
      <c r="L1829" s="53"/>
      <c r="M1829" s="53"/>
    </row>
    <row r="1830" spans="2:13">
      <c r="B1830" s="53"/>
      <c r="C1830" s="53"/>
      <c r="D1830" s="53"/>
      <c r="E1830" s="53"/>
      <c r="F1830" s="53"/>
      <c r="G1830" s="53"/>
      <c r="H1830" s="53"/>
      <c r="I1830" s="53"/>
      <c r="J1830" s="53"/>
      <c r="K1830" s="53"/>
      <c r="L1830" s="53"/>
      <c r="M1830" s="53"/>
    </row>
    <row r="1831" spans="2:13">
      <c r="B1831" s="53"/>
      <c r="C1831" s="53"/>
      <c r="D1831" s="53"/>
      <c r="E1831" s="53"/>
      <c r="F1831" s="53"/>
      <c r="G1831" s="53"/>
      <c r="H1831" s="53"/>
      <c r="I1831" s="53"/>
      <c r="J1831" s="53"/>
      <c r="K1831" s="53"/>
      <c r="L1831" s="53"/>
      <c r="M1831" s="53"/>
    </row>
    <row r="1832" spans="2:13">
      <c r="B1832" s="53"/>
      <c r="C1832" s="53"/>
      <c r="D1832" s="53"/>
      <c r="E1832" s="53"/>
      <c r="F1832" s="53"/>
      <c r="G1832" s="53"/>
      <c r="H1832" s="53"/>
      <c r="I1832" s="53"/>
      <c r="J1832" s="53"/>
      <c r="K1832" s="53"/>
      <c r="L1832" s="53"/>
      <c r="M1832" s="53"/>
    </row>
    <row r="1833" spans="2:13">
      <c r="B1833" s="53"/>
      <c r="C1833" s="53"/>
      <c r="D1833" s="53"/>
      <c r="E1833" s="53"/>
      <c r="F1833" s="53"/>
      <c r="G1833" s="53"/>
      <c r="H1833" s="53"/>
      <c r="I1833" s="53"/>
      <c r="J1833" s="53"/>
      <c r="K1833" s="53"/>
      <c r="L1833" s="53"/>
      <c r="M1833" s="53"/>
    </row>
    <row r="1834" spans="2:13">
      <c r="B1834" s="53"/>
      <c r="C1834" s="53"/>
      <c r="D1834" s="53"/>
      <c r="E1834" s="53"/>
      <c r="F1834" s="53"/>
      <c r="G1834" s="53"/>
      <c r="H1834" s="53"/>
      <c r="I1834" s="53"/>
      <c r="J1834" s="53"/>
      <c r="K1834" s="53"/>
      <c r="L1834" s="53"/>
      <c r="M1834" s="53"/>
    </row>
    <row r="1835" spans="2:13">
      <c r="B1835" s="53"/>
      <c r="C1835" s="53"/>
      <c r="D1835" s="53"/>
      <c r="E1835" s="53"/>
      <c r="F1835" s="53"/>
      <c r="G1835" s="53"/>
      <c r="H1835" s="53"/>
      <c r="I1835" s="53"/>
      <c r="J1835" s="53"/>
      <c r="K1835" s="53"/>
      <c r="L1835" s="53"/>
      <c r="M1835" s="53"/>
    </row>
    <row r="1836" spans="2:13">
      <c r="B1836" s="53"/>
      <c r="C1836" s="53"/>
      <c r="D1836" s="53"/>
      <c r="E1836" s="53"/>
      <c r="F1836" s="53"/>
      <c r="G1836" s="53"/>
      <c r="H1836" s="53"/>
      <c r="I1836" s="53"/>
      <c r="J1836" s="53"/>
      <c r="K1836" s="53"/>
      <c r="L1836" s="53"/>
      <c r="M1836" s="53"/>
    </row>
    <row r="1837" spans="2:13">
      <c r="B1837" s="53"/>
      <c r="C1837" s="53"/>
      <c r="D1837" s="53"/>
      <c r="E1837" s="53"/>
      <c r="F1837" s="53"/>
      <c r="G1837" s="53"/>
      <c r="H1837" s="53"/>
      <c r="I1837" s="53"/>
      <c r="J1837" s="53"/>
      <c r="K1837" s="53"/>
      <c r="L1837" s="53"/>
      <c r="M1837" s="53"/>
    </row>
    <row r="1838" spans="2:13">
      <c r="B1838" s="53"/>
      <c r="C1838" s="53"/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</row>
    <row r="1839" spans="2:13">
      <c r="B1839" s="53"/>
      <c r="C1839" s="53"/>
      <c r="D1839" s="53"/>
      <c r="E1839" s="53"/>
      <c r="F1839" s="53"/>
      <c r="G1839" s="53"/>
      <c r="H1839" s="53"/>
      <c r="I1839" s="53"/>
      <c r="J1839" s="53"/>
      <c r="K1839" s="53"/>
      <c r="L1839" s="53"/>
      <c r="M1839" s="53"/>
    </row>
    <row r="1840" spans="2:13">
      <c r="B1840" s="53"/>
      <c r="C1840" s="53"/>
      <c r="D1840" s="53"/>
      <c r="E1840" s="53"/>
      <c r="F1840" s="53"/>
      <c r="G1840" s="53"/>
      <c r="H1840" s="53"/>
      <c r="I1840" s="53"/>
      <c r="J1840" s="53"/>
      <c r="K1840" s="53"/>
      <c r="L1840" s="53"/>
      <c r="M1840" s="53"/>
    </row>
    <row r="1841" spans="2:13">
      <c r="B1841" s="53"/>
      <c r="C1841" s="53"/>
      <c r="D1841" s="53"/>
      <c r="E1841" s="53"/>
      <c r="F1841" s="53"/>
      <c r="G1841" s="53"/>
      <c r="H1841" s="53"/>
      <c r="I1841" s="53"/>
      <c r="J1841" s="53"/>
      <c r="K1841" s="53"/>
      <c r="L1841" s="53"/>
      <c r="M1841" s="53"/>
    </row>
    <row r="1842" spans="2:13">
      <c r="B1842" s="53"/>
      <c r="C1842" s="53"/>
      <c r="D1842" s="53"/>
      <c r="E1842" s="53"/>
      <c r="F1842" s="53"/>
      <c r="G1842" s="53"/>
      <c r="H1842" s="53"/>
      <c r="I1842" s="53"/>
      <c r="J1842" s="53"/>
      <c r="K1842" s="53"/>
      <c r="L1842" s="53"/>
      <c r="M1842" s="53"/>
    </row>
    <row r="1843" spans="2:13"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</row>
    <row r="1844" spans="2:13">
      <c r="B1844" s="53"/>
      <c r="C1844" s="53"/>
      <c r="D1844" s="53"/>
      <c r="E1844" s="53"/>
      <c r="F1844" s="53"/>
      <c r="G1844" s="53"/>
      <c r="H1844" s="53"/>
      <c r="I1844" s="53"/>
      <c r="J1844" s="53"/>
      <c r="K1844" s="53"/>
      <c r="L1844" s="53"/>
      <c r="M1844" s="53"/>
    </row>
    <row r="1845" spans="2:13">
      <c r="B1845" s="53"/>
      <c r="C1845" s="53"/>
      <c r="D1845" s="53"/>
      <c r="E1845" s="53"/>
      <c r="F1845" s="53"/>
      <c r="G1845" s="53"/>
      <c r="H1845" s="53"/>
      <c r="I1845" s="53"/>
      <c r="J1845" s="53"/>
      <c r="K1845" s="53"/>
      <c r="L1845" s="53"/>
      <c r="M1845" s="53"/>
    </row>
    <row r="1846" spans="2:13">
      <c r="B1846" s="53"/>
      <c r="C1846" s="53"/>
      <c r="D1846" s="53"/>
      <c r="E1846" s="53"/>
      <c r="F1846" s="53"/>
      <c r="G1846" s="53"/>
      <c r="H1846" s="53"/>
      <c r="I1846" s="53"/>
      <c r="J1846" s="53"/>
      <c r="K1846" s="53"/>
      <c r="L1846" s="53"/>
      <c r="M1846" s="53"/>
    </row>
    <row r="1847" spans="2:13">
      <c r="B1847" s="53"/>
      <c r="C1847" s="53"/>
      <c r="D1847" s="53"/>
      <c r="E1847" s="53"/>
      <c r="F1847" s="53"/>
      <c r="G1847" s="53"/>
      <c r="H1847" s="53"/>
      <c r="I1847" s="53"/>
      <c r="J1847" s="53"/>
      <c r="K1847" s="53"/>
      <c r="L1847" s="53"/>
      <c r="M1847" s="53"/>
    </row>
    <row r="1848" spans="2:13">
      <c r="B1848" s="53"/>
      <c r="C1848" s="53"/>
      <c r="D1848" s="53"/>
      <c r="E1848" s="53"/>
      <c r="F1848" s="53"/>
      <c r="G1848" s="53"/>
      <c r="H1848" s="53"/>
      <c r="I1848" s="53"/>
      <c r="J1848" s="53"/>
      <c r="K1848" s="53"/>
      <c r="L1848" s="53"/>
      <c r="M1848" s="53"/>
    </row>
    <row r="1849" spans="2:13">
      <c r="B1849" s="53"/>
      <c r="C1849" s="53"/>
      <c r="D1849" s="53"/>
      <c r="E1849" s="53"/>
      <c r="F1849" s="53"/>
      <c r="G1849" s="53"/>
      <c r="H1849" s="53"/>
      <c r="I1849" s="53"/>
      <c r="J1849" s="53"/>
      <c r="K1849" s="53"/>
      <c r="L1849" s="53"/>
      <c r="M1849" s="53"/>
    </row>
    <row r="1850" spans="2:13">
      <c r="B1850" s="53"/>
      <c r="C1850" s="53"/>
      <c r="D1850" s="53"/>
      <c r="E1850" s="53"/>
      <c r="F1850" s="53"/>
      <c r="G1850" s="53"/>
      <c r="H1850" s="53"/>
      <c r="I1850" s="53"/>
      <c r="J1850" s="53"/>
      <c r="K1850" s="53"/>
      <c r="L1850" s="53"/>
      <c r="M1850" s="53"/>
    </row>
    <row r="1851" spans="2:13">
      <c r="B1851" s="53"/>
      <c r="C1851" s="53"/>
      <c r="D1851" s="53"/>
      <c r="E1851" s="53"/>
      <c r="F1851" s="53"/>
      <c r="G1851" s="53"/>
      <c r="H1851" s="53"/>
      <c r="I1851" s="53"/>
      <c r="J1851" s="53"/>
      <c r="K1851" s="53"/>
      <c r="L1851" s="53"/>
      <c r="M1851" s="53"/>
    </row>
    <row r="1852" spans="2:13">
      <c r="B1852" s="53"/>
      <c r="C1852" s="53"/>
      <c r="D1852" s="53"/>
      <c r="E1852" s="53"/>
      <c r="F1852" s="53"/>
      <c r="G1852" s="53"/>
      <c r="H1852" s="53"/>
      <c r="I1852" s="53"/>
      <c r="J1852" s="53"/>
      <c r="K1852" s="53"/>
      <c r="L1852" s="53"/>
      <c r="M1852" s="53"/>
    </row>
    <row r="1853" spans="2:13">
      <c r="B1853" s="53"/>
      <c r="C1853" s="53"/>
      <c r="D1853" s="53"/>
      <c r="E1853" s="53"/>
      <c r="F1853" s="53"/>
      <c r="G1853" s="53"/>
      <c r="H1853" s="53"/>
      <c r="I1853" s="53"/>
      <c r="J1853" s="53"/>
      <c r="K1853" s="53"/>
      <c r="L1853" s="53"/>
      <c r="M1853" s="53"/>
    </row>
    <row r="1854" spans="2:13">
      <c r="B1854" s="53"/>
      <c r="C1854" s="53"/>
      <c r="D1854" s="53"/>
      <c r="E1854" s="53"/>
      <c r="F1854" s="53"/>
      <c r="G1854" s="53"/>
      <c r="H1854" s="53"/>
      <c r="I1854" s="53"/>
      <c r="J1854" s="53"/>
      <c r="K1854" s="53"/>
      <c r="L1854" s="53"/>
      <c r="M1854" s="53"/>
    </row>
    <row r="1855" spans="2:13">
      <c r="B1855" s="53"/>
      <c r="C1855" s="53"/>
      <c r="D1855" s="53"/>
      <c r="E1855" s="53"/>
      <c r="F1855" s="53"/>
      <c r="G1855" s="53"/>
      <c r="H1855" s="53"/>
      <c r="I1855" s="53"/>
      <c r="J1855" s="53"/>
      <c r="K1855" s="53"/>
      <c r="L1855" s="53"/>
      <c r="M1855" s="53"/>
    </row>
    <row r="1856" spans="2:13">
      <c r="B1856" s="53"/>
      <c r="C1856" s="53"/>
      <c r="D1856" s="53"/>
      <c r="E1856" s="53"/>
      <c r="F1856" s="53"/>
      <c r="G1856" s="53"/>
      <c r="H1856" s="53"/>
      <c r="I1856" s="53"/>
      <c r="J1856" s="53"/>
      <c r="K1856" s="53"/>
      <c r="L1856" s="53"/>
      <c r="M1856" s="53"/>
    </row>
    <row r="1857" spans="2:13">
      <c r="B1857" s="53"/>
      <c r="C1857" s="53"/>
      <c r="D1857" s="53"/>
      <c r="E1857" s="53"/>
      <c r="F1857" s="53"/>
      <c r="G1857" s="53"/>
      <c r="H1857" s="53"/>
      <c r="I1857" s="53"/>
      <c r="J1857" s="53"/>
      <c r="K1857" s="53"/>
      <c r="L1857" s="53"/>
      <c r="M1857" s="53"/>
    </row>
    <row r="1858" spans="2:13">
      <c r="B1858" s="53"/>
      <c r="C1858" s="53"/>
      <c r="D1858" s="53"/>
      <c r="E1858" s="53"/>
      <c r="F1858" s="53"/>
      <c r="G1858" s="53"/>
      <c r="H1858" s="53"/>
      <c r="I1858" s="53"/>
      <c r="J1858" s="53"/>
      <c r="K1858" s="53"/>
      <c r="L1858" s="53"/>
      <c r="M1858" s="53"/>
    </row>
    <row r="1859" spans="2:13">
      <c r="B1859" s="53"/>
      <c r="C1859" s="53"/>
      <c r="D1859" s="53"/>
      <c r="E1859" s="53"/>
      <c r="F1859" s="53"/>
      <c r="G1859" s="53"/>
      <c r="H1859" s="53"/>
      <c r="I1859" s="53"/>
      <c r="J1859" s="53"/>
      <c r="K1859" s="53"/>
      <c r="L1859" s="53"/>
      <c r="M1859" s="53"/>
    </row>
    <row r="1860" spans="2:13">
      <c r="B1860" s="53"/>
      <c r="C1860" s="53"/>
      <c r="D1860" s="53"/>
      <c r="E1860" s="53"/>
      <c r="F1860" s="53"/>
      <c r="G1860" s="53"/>
      <c r="H1860" s="53"/>
      <c r="I1860" s="53"/>
      <c r="J1860" s="53"/>
      <c r="K1860" s="53"/>
      <c r="L1860" s="53"/>
      <c r="M1860" s="53"/>
    </row>
    <row r="1861" spans="2:13">
      <c r="B1861" s="53"/>
      <c r="C1861" s="53"/>
      <c r="D1861" s="53"/>
      <c r="E1861" s="53"/>
      <c r="F1861" s="53"/>
      <c r="G1861" s="53"/>
      <c r="H1861" s="53"/>
      <c r="I1861" s="53"/>
      <c r="J1861" s="53"/>
      <c r="K1861" s="53"/>
      <c r="L1861" s="53"/>
      <c r="M1861" s="53"/>
    </row>
    <row r="1862" spans="2:13">
      <c r="B1862" s="53"/>
      <c r="C1862" s="53"/>
      <c r="D1862" s="53"/>
      <c r="E1862" s="53"/>
      <c r="F1862" s="53"/>
      <c r="G1862" s="53"/>
      <c r="H1862" s="53"/>
      <c r="I1862" s="53"/>
      <c r="J1862" s="53"/>
      <c r="K1862" s="53"/>
      <c r="L1862" s="53"/>
      <c r="M1862" s="53"/>
    </row>
    <row r="1863" spans="2:13">
      <c r="B1863" s="53"/>
      <c r="C1863" s="53"/>
      <c r="D1863" s="53"/>
      <c r="E1863" s="53"/>
      <c r="F1863" s="53"/>
      <c r="G1863" s="53"/>
      <c r="H1863" s="53"/>
      <c r="I1863" s="53"/>
      <c r="J1863" s="53"/>
      <c r="K1863" s="53"/>
      <c r="L1863" s="53"/>
      <c r="M1863" s="53"/>
    </row>
    <row r="1864" spans="2:13">
      <c r="B1864" s="53"/>
      <c r="C1864" s="53"/>
      <c r="D1864" s="53"/>
      <c r="E1864" s="53"/>
      <c r="F1864" s="53"/>
      <c r="G1864" s="53"/>
      <c r="H1864" s="53"/>
      <c r="I1864" s="53"/>
      <c r="J1864" s="53"/>
      <c r="K1864" s="53"/>
      <c r="L1864" s="53"/>
      <c r="M1864" s="53"/>
    </row>
    <row r="1865" spans="2:13">
      <c r="B1865" s="53"/>
      <c r="C1865" s="53"/>
      <c r="D1865" s="53"/>
      <c r="E1865" s="53"/>
      <c r="F1865" s="53"/>
      <c r="G1865" s="53"/>
      <c r="H1865" s="53"/>
      <c r="I1865" s="53"/>
      <c r="J1865" s="53"/>
      <c r="K1865" s="53"/>
      <c r="L1865" s="53"/>
      <c r="M1865" s="53"/>
    </row>
    <row r="1866" spans="2:13">
      <c r="B1866" s="53"/>
      <c r="C1866" s="53"/>
      <c r="D1866" s="53"/>
      <c r="E1866" s="53"/>
      <c r="F1866" s="53"/>
      <c r="G1866" s="53"/>
      <c r="H1866" s="53"/>
      <c r="I1866" s="53"/>
      <c r="J1866" s="53"/>
      <c r="K1866" s="53"/>
      <c r="L1866" s="53"/>
      <c r="M1866" s="53"/>
    </row>
    <row r="1867" spans="2:13">
      <c r="B1867" s="53"/>
      <c r="C1867" s="53"/>
      <c r="D1867" s="53"/>
      <c r="E1867" s="53"/>
      <c r="F1867" s="53"/>
      <c r="G1867" s="53"/>
      <c r="H1867" s="53"/>
      <c r="I1867" s="53"/>
      <c r="J1867" s="53"/>
      <c r="K1867" s="53"/>
      <c r="L1867" s="53"/>
      <c r="M1867" s="53"/>
    </row>
    <row r="1868" spans="2:13">
      <c r="B1868" s="53"/>
      <c r="C1868" s="53"/>
      <c r="D1868" s="53"/>
      <c r="E1868" s="53"/>
      <c r="F1868" s="53"/>
      <c r="G1868" s="53"/>
      <c r="H1868" s="53"/>
      <c r="I1868" s="53"/>
      <c r="J1868" s="53"/>
      <c r="K1868" s="53"/>
      <c r="L1868" s="53"/>
      <c r="M1868" s="53"/>
    </row>
    <row r="1869" spans="2:13">
      <c r="B1869" s="53"/>
      <c r="C1869" s="53"/>
      <c r="D1869" s="53"/>
      <c r="E1869" s="53"/>
      <c r="F1869" s="53"/>
      <c r="G1869" s="53"/>
      <c r="H1869" s="53"/>
      <c r="I1869" s="53"/>
      <c r="J1869" s="53"/>
      <c r="K1869" s="53"/>
      <c r="L1869" s="53"/>
      <c r="M1869" s="53"/>
    </row>
    <row r="1870" spans="2:13">
      <c r="B1870" s="53"/>
      <c r="C1870" s="53"/>
      <c r="D1870" s="53"/>
      <c r="E1870" s="53"/>
      <c r="F1870" s="53"/>
      <c r="G1870" s="53"/>
      <c r="H1870" s="53"/>
      <c r="I1870" s="53"/>
      <c r="J1870" s="53"/>
      <c r="K1870" s="53"/>
      <c r="L1870" s="53"/>
      <c r="M1870" s="53"/>
    </row>
    <row r="1871" spans="2:13">
      <c r="B1871" s="53"/>
      <c r="C1871" s="53"/>
      <c r="D1871" s="53"/>
      <c r="E1871" s="53"/>
      <c r="F1871" s="53"/>
      <c r="G1871" s="53"/>
      <c r="H1871" s="53"/>
      <c r="I1871" s="53"/>
      <c r="J1871" s="53"/>
      <c r="K1871" s="53"/>
      <c r="L1871" s="53"/>
      <c r="M1871" s="53"/>
    </row>
    <row r="1872" spans="2:13">
      <c r="B1872" s="53"/>
      <c r="C1872" s="53"/>
      <c r="D1872" s="53"/>
      <c r="E1872" s="53"/>
      <c r="F1872" s="53"/>
      <c r="G1872" s="53"/>
      <c r="H1872" s="53"/>
      <c r="I1872" s="53"/>
      <c r="J1872" s="53"/>
      <c r="K1872" s="53"/>
      <c r="L1872" s="53"/>
      <c r="M1872" s="53"/>
    </row>
    <row r="1873" spans="2:13">
      <c r="B1873" s="53"/>
      <c r="C1873" s="53"/>
      <c r="D1873" s="53"/>
      <c r="E1873" s="53"/>
      <c r="F1873" s="53"/>
      <c r="G1873" s="53"/>
      <c r="H1873" s="53"/>
      <c r="I1873" s="53"/>
      <c r="J1873" s="53"/>
      <c r="K1873" s="53"/>
      <c r="L1873" s="53"/>
      <c r="M1873" s="53"/>
    </row>
    <row r="1874" spans="2:13">
      <c r="B1874" s="53"/>
      <c r="C1874" s="53"/>
      <c r="D1874" s="53"/>
      <c r="E1874" s="53"/>
      <c r="F1874" s="53"/>
      <c r="G1874" s="53"/>
      <c r="H1874" s="53"/>
      <c r="I1874" s="53"/>
      <c r="J1874" s="53"/>
      <c r="K1874" s="53"/>
      <c r="L1874" s="53"/>
      <c r="M1874" s="53"/>
    </row>
    <row r="1875" spans="2:13">
      <c r="B1875" s="53"/>
      <c r="C1875" s="53"/>
      <c r="D1875" s="53"/>
      <c r="E1875" s="53"/>
      <c r="F1875" s="53"/>
      <c r="G1875" s="53"/>
      <c r="H1875" s="53"/>
      <c r="I1875" s="53"/>
      <c r="J1875" s="53"/>
      <c r="K1875" s="53"/>
      <c r="L1875" s="53"/>
      <c r="M1875" s="53"/>
    </row>
    <row r="1876" spans="2:13">
      <c r="B1876" s="53"/>
      <c r="C1876" s="53"/>
      <c r="D1876" s="53"/>
      <c r="E1876" s="53"/>
      <c r="F1876" s="53"/>
      <c r="G1876" s="53"/>
      <c r="H1876" s="53"/>
      <c r="I1876" s="53"/>
      <c r="J1876" s="53"/>
      <c r="K1876" s="53"/>
      <c r="L1876" s="53"/>
      <c r="M1876" s="53"/>
    </row>
    <row r="1877" spans="2:13">
      <c r="B1877" s="53"/>
      <c r="C1877" s="53"/>
      <c r="D1877" s="53"/>
      <c r="E1877" s="53"/>
      <c r="F1877" s="53"/>
      <c r="G1877" s="53"/>
      <c r="H1877" s="53"/>
      <c r="I1877" s="53"/>
      <c r="J1877" s="53"/>
      <c r="K1877" s="53"/>
      <c r="L1877" s="53"/>
      <c r="M1877" s="53"/>
    </row>
    <row r="1878" spans="2:13">
      <c r="B1878" s="53"/>
      <c r="C1878" s="53"/>
      <c r="D1878" s="53"/>
      <c r="E1878" s="53"/>
      <c r="F1878" s="53"/>
      <c r="G1878" s="53"/>
      <c r="H1878" s="53"/>
      <c r="I1878" s="53"/>
      <c r="J1878" s="53"/>
      <c r="K1878" s="53"/>
      <c r="L1878" s="53"/>
      <c r="M1878" s="53"/>
    </row>
    <row r="1879" spans="2:13">
      <c r="B1879" s="53"/>
      <c r="C1879" s="53"/>
      <c r="D1879" s="53"/>
      <c r="E1879" s="53"/>
      <c r="F1879" s="53"/>
      <c r="G1879" s="53"/>
      <c r="H1879" s="53"/>
      <c r="I1879" s="53"/>
      <c r="J1879" s="53"/>
      <c r="K1879" s="53"/>
      <c r="L1879" s="53"/>
      <c r="M1879" s="53"/>
    </row>
    <row r="1880" spans="2:13">
      <c r="B1880" s="53"/>
      <c r="C1880" s="53"/>
      <c r="D1880" s="53"/>
      <c r="E1880" s="53"/>
      <c r="F1880" s="53"/>
      <c r="G1880" s="53"/>
      <c r="H1880" s="53"/>
      <c r="I1880" s="53"/>
      <c r="J1880" s="53"/>
      <c r="K1880" s="53"/>
      <c r="L1880" s="53"/>
      <c r="M1880" s="53"/>
    </row>
    <row r="1881" spans="2:13">
      <c r="B1881" s="53"/>
      <c r="C1881" s="53"/>
      <c r="D1881" s="53"/>
      <c r="E1881" s="53"/>
      <c r="F1881" s="53"/>
      <c r="G1881" s="53"/>
      <c r="H1881" s="53"/>
      <c r="I1881" s="53"/>
      <c r="J1881" s="53"/>
      <c r="K1881" s="53"/>
      <c r="L1881" s="53"/>
      <c r="M1881" s="53"/>
    </row>
    <row r="1882" spans="2:13">
      <c r="B1882" s="53"/>
      <c r="C1882" s="53"/>
      <c r="D1882" s="53"/>
      <c r="E1882" s="53"/>
      <c r="F1882" s="53"/>
      <c r="G1882" s="53"/>
      <c r="H1882" s="53"/>
      <c r="I1882" s="53"/>
      <c r="J1882" s="53"/>
      <c r="K1882" s="53"/>
      <c r="L1882" s="53"/>
      <c r="M1882" s="53"/>
    </row>
    <row r="1883" spans="2:13">
      <c r="B1883" s="53"/>
      <c r="C1883" s="53"/>
      <c r="D1883" s="53"/>
      <c r="E1883" s="53"/>
      <c r="F1883" s="53"/>
      <c r="G1883" s="53"/>
      <c r="H1883" s="53"/>
      <c r="I1883" s="53"/>
      <c r="J1883" s="53"/>
      <c r="K1883" s="53"/>
      <c r="L1883" s="53"/>
      <c r="M1883" s="53"/>
    </row>
    <row r="1884" spans="2:13">
      <c r="B1884" s="53"/>
      <c r="C1884" s="53"/>
      <c r="D1884" s="53"/>
      <c r="E1884" s="53"/>
      <c r="F1884" s="53"/>
      <c r="G1884" s="53"/>
      <c r="H1884" s="53"/>
      <c r="I1884" s="53"/>
      <c r="J1884" s="53"/>
      <c r="K1884" s="53"/>
      <c r="L1884" s="53"/>
      <c r="M1884" s="53"/>
    </row>
    <row r="1885" spans="2:13">
      <c r="B1885" s="53"/>
      <c r="C1885" s="53"/>
      <c r="D1885" s="53"/>
      <c r="E1885" s="53"/>
      <c r="F1885" s="53"/>
      <c r="G1885" s="53"/>
      <c r="H1885" s="53"/>
      <c r="I1885" s="53"/>
      <c r="J1885" s="53"/>
      <c r="K1885" s="53"/>
      <c r="L1885" s="53"/>
      <c r="M1885" s="53"/>
    </row>
    <row r="1886" spans="2:13">
      <c r="B1886" s="53"/>
      <c r="C1886" s="53"/>
      <c r="D1886" s="53"/>
      <c r="E1886" s="53"/>
      <c r="F1886" s="53"/>
      <c r="G1886" s="53"/>
      <c r="H1886" s="53"/>
      <c r="I1886" s="53"/>
      <c r="J1886" s="53"/>
      <c r="K1886" s="53"/>
      <c r="L1886" s="53"/>
      <c r="M1886" s="53"/>
    </row>
    <row r="1887" spans="2:13">
      <c r="B1887" s="53"/>
      <c r="C1887" s="53"/>
      <c r="D1887" s="53"/>
      <c r="E1887" s="53"/>
      <c r="F1887" s="53"/>
      <c r="G1887" s="53"/>
      <c r="H1887" s="53"/>
      <c r="I1887" s="53"/>
      <c r="J1887" s="53"/>
      <c r="K1887" s="53"/>
      <c r="L1887" s="53"/>
      <c r="M1887" s="53"/>
    </row>
    <row r="1888" spans="2:13">
      <c r="B1888" s="53"/>
      <c r="C1888" s="53"/>
      <c r="D1888" s="53"/>
      <c r="E1888" s="53"/>
      <c r="F1888" s="53"/>
      <c r="G1888" s="53"/>
      <c r="H1888" s="53"/>
      <c r="I1888" s="53"/>
      <c r="J1888" s="53"/>
      <c r="K1888" s="53"/>
      <c r="L1888" s="53"/>
      <c r="M1888" s="53"/>
    </row>
    <row r="1889" spans="2:13">
      <c r="B1889" s="53"/>
      <c r="C1889" s="53"/>
      <c r="D1889" s="53"/>
      <c r="E1889" s="53"/>
      <c r="F1889" s="53"/>
      <c r="G1889" s="53"/>
      <c r="H1889" s="53"/>
      <c r="I1889" s="53"/>
      <c r="J1889" s="53"/>
      <c r="K1889" s="53"/>
      <c r="L1889" s="53"/>
      <c r="M1889" s="53"/>
    </row>
    <row r="1890" spans="2:13">
      <c r="B1890" s="53"/>
      <c r="C1890" s="53"/>
      <c r="D1890" s="53"/>
      <c r="E1890" s="53"/>
      <c r="F1890" s="53"/>
      <c r="G1890" s="53"/>
      <c r="H1890" s="53"/>
      <c r="I1890" s="53"/>
      <c r="J1890" s="53"/>
      <c r="K1890" s="53"/>
      <c r="L1890" s="53"/>
      <c r="M1890" s="53"/>
    </row>
    <row r="1891" spans="2:13">
      <c r="B1891" s="53"/>
      <c r="C1891" s="53"/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</row>
    <row r="1892" spans="2:13">
      <c r="B1892" s="53"/>
      <c r="C1892" s="53"/>
      <c r="D1892" s="53"/>
      <c r="E1892" s="53"/>
      <c r="F1892" s="53"/>
      <c r="G1892" s="53"/>
      <c r="H1892" s="53"/>
      <c r="I1892" s="53"/>
      <c r="J1892" s="53"/>
      <c r="K1892" s="53"/>
      <c r="L1892" s="53"/>
      <c r="M1892" s="53"/>
    </row>
    <row r="1893" spans="2:13">
      <c r="B1893" s="53"/>
      <c r="C1893" s="53"/>
      <c r="D1893" s="53"/>
      <c r="E1893" s="53"/>
      <c r="F1893" s="53"/>
      <c r="G1893" s="53"/>
      <c r="H1893" s="53"/>
      <c r="I1893" s="53"/>
      <c r="J1893" s="53"/>
      <c r="K1893" s="53"/>
      <c r="L1893" s="53"/>
      <c r="M1893" s="53"/>
    </row>
    <row r="1894" spans="2:13">
      <c r="B1894" s="53"/>
      <c r="C1894" s="53"/>
      <c r="D1894" s="53"/>
      <c r="E1894" s="53"/>
      <c r="F1894" s="53"/>
      <c r="G1894" s="53"/>
      <c r="H1894" s="53"/>
      <c r="I1894" s="53"/>
      <c r="J1894" s="53"/>
      <c r="K1894" s="53"/>
      <c r="L1894" s="53"/>
      <c r="M1894" s="53"/>
    </row>
    <row r="1895" spans="2:13">
      <c r="B1895" s="53"/>
      <c r="C1895" s="53"/>
      <c r="D1895" s="53"/>
      <c r="E1895" s="53"/>
      <c r="F1895" s="53"/>
      <c r="G1895" s="53"/>
      <c r="H1895" s="53"/>
      <c r="I1895" s="53"/>
      <c r="J1895" s="53"/>
      <c r="K1895" s="53"/>
      <c r="L1895" s="53"/>
      <c r="M1895" s="53"/>
    </row>
    <row r="1896" spans="2:13"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</row>
    <row r="1897" spans="2:13">
      <c r="B1897" s="53"/>
      <c r="C1897" s="53"/>
      <c r="D1897" s="53"/>
      <c r="E1897" s="53"/>
      <c r="F1897" s="53"/>
      <c r="G1897" s="53"/>
      <c r="H1897" s="53"/>
      <c r="I1897" s="53"/>
      <c r="J1897" s="53"/>
      <c r="K1897" s="53"/>
      <c r="L1897" s="53"/>
      <c r="M1897" s="53"/>
    </row>
    <row r="1898" spans="2:13">
      <c r="B1898" s="53"/>
      <c r="C1898" s="53"/>
      <c r="D1898" s="53"/>
      <c r="E1898" s="53"/>
      <c r="F1898" s="53"/>
      <c r="G1898" s="53"/>
      <c r="H1898" s="53"/>
      <c r="I1898" s="53"/>
      <c r="J1898" s="53"/>
      <c r="K1898" s="53"/>
      <c r="L1898" s="53"/>
      <c r="M1898" s="53"/>
    </row>
    <row r="1899" spans="2:13">
      <c r="B1899" s="53"/>
      <c r="C1899" s="53"/>
      <c r="D1899" s="53"/>
      <c r="E1899" s="53"/>
      <c r="F1899" s="53"/>
      <c r="G1899" s="53"/>
      <c r="H1899" s="53"/>
      <c r="I1899" s="53"/>
      <c r="J1899" s="53"/>
      <c r="K1899" s="53"/>
      <c r="L1899" s="53"/>
      <c r="M1899" s="53"/>
    </row>
    <row r="1900" spans="2:13">
      <c r="B1900" s="53"/>
      <c r="C1900" s="53"/>
      <c r="D1900" s="53"/>
      <c r="E1900" s="53"/>
      <c r="F1900" s="53"/>
      <c r="G1900" s="53"/>
      <c r="H1900" s="53"/>
      <c r="I1900" s="53"/>
      <c r="J1900" s="53"/>
      <c r="K1900" s="53"/>
      <c r="L1900" s="53"/>
      <c r="M1900" s="53"/>
    </row>
    <row r="1901" spans="2:13">
      <c r="B1901" s="53"/>
      <c r="C1901" s="53"/>
      <c r="D1901" s="53"/>
      <c r="E1901" s="53"/>
      <c r="F1901" s="53"/>
      <c r="G1901" s="53"/>
      <c r="H1901" s="53"/>
      <c r="I1901" s="53"/>
      <c r="J1901" s="53"/>
      <c r="K1901" s="53"/>
      <c r="L1901" s="53"/>
      <c r="M1901" s="53"/>
    </row>
    <row r="1902" spans="2:13">
      <c r="B1902" s="53"/>
      <c r="C1902" s="53"/>
      <c r="D1902" s="53"/>
      <c r="E1902" s="53"/>
      <c r="F1902" s="53"/>
      <c r="G1902" s="53"/>
      <c r="H1902" s="53"/>
      <c r="I1902" s="53"/>
      <c r="J1902" s="53"/>
      <c r="K1902" s="53"/>
      <c r="L1902" s="53"/>
      <c r="M1902" s="53"/>
    </row>
    <row r="1903" spans="2:13">
      <c r="B1903" s="53"/>
      <c r="C1903" s="53"/>
      <c r="D1903" s="53"/>
      <c r="E1903" s="53"/>
      <c r="F1903" s="53"/>
      <c r="G1903" s="53"/>
      <c r="H1903" s="53"/>
      <c r="I1903" s="53"/>
      <c r="J1903" s="53"/>
      <c r="K1903" s="53"/>
      <c r="L1903" s="53"/>
      <c r="M1903" s="53"/>
    </row>
    <row r="1904" spans="2:13">
      <c r="B1904" s="53"/>
      <c r="C1904" s="53"/>
      <c r="D1904" s="53"/>
      <c r="E1904" s="53"/>
      <c r="F1904" s="53"/>
      <c r="G1904" s="53"/>
      <c r="H1904" s="53"/>
      <c r="I1904" s="53"/>
      <c r="J1904" s="53"/>
      <c r="K1904" s="53"/>
      <c r="L1904" s="53"/>
      <c r="M1904" s="53"/>
    </row>
    <row r="1905" spans="2:13">
      <c r="B1905" s="53"/>
      <c r="C1905" s="53"/>
      <c r="D1905" s="53"/>
      <c r="E1905" s="53"/>
      <c r="F1905" s="53"/>
      <c r="G1905" s="53"/>
      <c r="H1905" s="53"/>
      <c r="I1905" s="53"/>
      <c r="J1905" s="53"/>
      <c r="K1905" s="53"/>
      <c r="L1905" s="53"/>
      <c r="M1905" s="53"/>
    </row>
    <row r="1906" spans="2:13">
      <c r="B1906" s="53"/>
      <c r="C1906" s="53"/>
      <c r="D1906" s="53"/>
      <c r="E1906" s="53"/>
      <c r="F1906" s="53"/>
      <c r="G1906" s="53"/>
      <c r="H1906" s="53"/>
      <c r="I1906" s="53"/>
      <c r="J1906" s="53"/>
      <c r="K1906" s="53"/>
      <c r="L1906" s="53"/>
      <c r="M1906" s="53"/>
    </row>
    <row r="1907" spans="2:13">
      <c r="B1907" s="53"/>
      <c r="C1907" s="53"/>
      <c r="D1907" s="53"/>
      <c r="E1907" s="53"/>
      <c r="F1907" s="53"/>
      <c r="G1907" s="53"/>
      <c r="H1907" s="53"/>
      <c r="I1907" s="53"/>
      <c r="J1907" s="53"/>
      <c r="K1907" s="53"/>
      <c r="L1907" s="53"/>
      <c r="M1907" s="53"/>
    </row>
    <row r="1908" spans="2:13">
      <c r="B1908" s="53"/>
      <c r="C1908" s="53"/>
      <c r="D1908" s="53"/>
      <c r="E1908" s="53"/>
      <c r="F1908" s="53"/>
      <c r="G1908" s="53"/>
      <c r="H1908" s="53"/>
      <c r="I1908" s="53"/>
      <c r="J1908" s="53"/>
      <c r="K1908" s="53"/>
      <c r="L1908" s="53"/>
      <c r="M1908" s="53"/>
    </row>
    <row r="1909" spans="2:13">
      <c r="B1909" s="53"/>
      <c r="C1909" s="53"/>
      <c r="D1909" s="53"/>
      <c r="E1909" s="53"/>
      <c r="F1909" s="53"/>
      <c r="G1909" s="53"/>
      <c r="H1909" s="53"/>
      <c r="I1909" s="53"/>
      <c r="J1909" s="53"/>
      <c r="K1909" s="53"/>
      <c r="L1909" s="53"/>
      <c r="M1909" s="53"/>
    </row>
    <row r="1910" spans="2:13">
      <c r="B1910" s="53"/>
      <c r="C1910" s="53"/>
      <c r="D1910" s="53"/>
      <c r="E1910" s="53"/>
      <c r="F1910" s="53"/>
      <c r="G1910" s="53"/>
      <c r="H1910" s="53"/>
      <c r="I1910" s="53"/>
      <c r="J1910" s="53"/>
      <c r="K1910" s="53"/>
      <c r="L1910" s="53"/>
      <c r="M1910" s="53"/>
    </row>
    <row r="1911" spans="2:13">
      <c r="B1911" s="53"/>
      <c r="C1911" s="53"/>
      <c r="D1911" s="53"/>
      <c r="E1911" s="53"/>
      <c r="F1911" s="53"/>
      <c r="G1911" s="53"/>
      <c r="H1911" s="53"/>
      <c r="I1911" s="53"/>
      <c r="J1911" s="53"/>
      <c r="K1911" s="53"/>
      <c r="L1911" s="53"/>
      <c r="M1911" s="53"/>
    </row>
    <row r="1912" spans="2:13">
      <c r="B1912" s="53"/>
      <c r="C1912" s="53"/>
      <c r="D1912" s="53"/>
      <c r="E1912" s="53"/>
      <c r="F1912" s="53"/>
      <c r="G1912" s="53"/>
      <c r="H1912" s="53"/>
      <c r="I1912" s="53"/>
      <c r="J1912" s="53"/>
      <c r="K1912" s="53"/>
      <c r="L1912" s="53"/>
      <c r="M1912" s="53"/>
    </row>
    <row r="1913" spans="2:13">
      <c r="B1913" s="53"/>
      <c r="C1913" s="53"/>
      <c r="D1913" s="53"/>
      <c r="E1913" s="53"/>
      <c r="F1913" s="53"/>
      <c r="G1913" s="53"/>
      <c r="H1913" s="53"/>
      <c r="I1913" s="53"/>
      <c r="J1913" s="53"/>
      <c r="K1913" s="53"/>
      <c r="L1913" s="53"/>
      <c r="M1913" s="53"/>
    </row>
    <row r="1914" spans="2:13">
      <c r="B1914" s="53"/>
      <c r="C1914" s="53"/>
      <c r="D1914" s="53"/>
      <c r="E1914" s="53"/>
      <c r="F1914" s="53"/>
      <c r="G1914" s="53"/>
      <c r="H1914" s="53"/>
      <c r="I1914" s="53"/>
      <c r="J1914" s="53"/>
      <c r="K1914" s="53"/>
      <c r="L1914" s="53"/>
      <c r="M1914" s="53"/>
    </row>
    <row r="1915" spans="2:13">
      <c r="B1915" s="53"/>
      <c r="C1915" s="53"/>
      <c r="D1915" s="53"/>
      <c r="E1915" s="53"/>
      <c r="F1915" s="53"/>
      <c r="G1915" s="53"/>
      <c r="H1915" s="53"/>
      <c r="I1915" s="53"/>
      <c r="J1915" s="53"/>
      <c r="K1915" s="53"/>
      <c r="L1915" s="53"/>
      <c r="M1915" s="53"/>
    </row>
    <row r="1916" spans="2:13">
      <c r="B1916" s="53"/>
      <c r="C1916" s="53"/>
      <c r="D1916" s="53"/>
      <c r="E1916" s="53"/>
      <c r="F1916" s="53"/>
      <c r="G1916" s="53"/>
      <c r="H1916" s="53"/>
      <c r="I1916" s="53"/>
      <c r="J1916" s="53"/>
      <c r="K1916" s="53"/>
      <c r="L1916" s="53"/>
      <c r="M1916" s="53"/>
    </row>
    <row r="1917" spans="2:13">
      <c r="B1917" s="53"/>
      <c r="C1917" s="53"/>
      <c r="D1917" s="53"/>
      <c r="E1917" s="53"/>
      <c r="F1917" s="53"/>
      <c r="G1917" s="53"/>
      <c r="H1917" s="53"/>
      <c r="I1917" s="53"/>
      <c r="J1917" s="53"/>
      <c r="K1917" s="53"/>
      <c r="L1917" s="53"/>
      <c r="M1917" s="53"/>
    </row>
    <row r="1918" spans="2:13">
      <c r="B1918" s="53"/>
      <c r="C1918" s="53"/>
      <c r="D1918" s="53"/>
      <c r="E1918" s="53"/>
      <c r="F1918" s="53"/>
      <c r="G1918" s="53"/>
      <c r="H1918" s="53"/>
      <c r="I1918" s="53"/>
      <c r="J1918" s="53"/>
      <c r="K1918" s="53"/>
      <c r="L1918" s="53"/>
      <c r="M1918" s="53"/>
    </row>
    <row r="1919" spans="2:13">
      <c r="B1919" s="53"/>
      <c r="C1919" s="53"/>
      <c r="D1919" s="53"/>
      <c r="E1919" s="53"/>
      <c r="F1919" s="53"/>
      <c r="G1919" s="53"/>
      <c r="H1919" s="53"/>
      <c r="I1919" s="53"/>
      <c r="J1919" s="53"/>
      <c r="K1919" s="53"/>
      <c r="L1919" s="53"/>
      <c r="M1919" s="53"/>
    </row>
    <row r="1920" spans="2:13">
      <c r="B1920" s="53"/>
      <c r="C1920" s="53"/>
      <c r="D1920" s="53"/>
      <c r="E1920" s="53"/>
      <c r="F1920" s="53"/>
      <c r="G1920" s="53"/>
      <c r="H1920" s="53"/>
      <c r="I1920" s="53"/>
      <c r="J1920" s="53"/>
      <c r="K1920" s="53"/>
      <c r="L1920" s="53"/>
      <c r="M1920" s="53"/>
    </row>
    <row r="1921" spans="2:13">
      <c r="B1921" s="53"/>
      <c r="C1921" s="53"/>
      <c r="D1921" s="53"/>
      <c r="E1921" s="53"/>
      <c r="F1921" s="53"/>
      <c r="G1921" s="53"/>
      <c r="H1921" s="53"/>
      <c r="I1921" s="53"/>
      <c r="J1921" s="53"/>
      <c r="K1921" s="53"/>
      <c r="L1921" s="53"/>
      <c r="M1921" s="53"/>
    </row>
    <row r="1922" spans="2:13">
      <c r="B1922" s="53"/>
      <c r="C1922" s="53"/>
      <c r="D1922" s="53"/>
      <c r="E1922" s="53"/>
      <c r="F1922" s="53"/>
      <c r="G1922" s="53"/>
      <c r="H1922" s="53"/>
      <c r="I1922" s="53"/>
      <c r="J1922" s="53"/>
      <c r="K1922" s="53"/>
      <c r="L1922" s="53"/>
      <c r="M1922" s="53"/>
    </row>
    <row r="1923" spans="2:13">
      <c r="B1923" s="53"/>
      <c r="C1923" s="53"/>
      <c r="D1923" s="53"/>
      <c r="E1923" s="53"/>
      <c r="F1923" s="53"/>
      <c r="G1923" s="53"/>
      <c r="H1923" s="53"/>
      <c r="I1923" s="53"/>
      <c r="J1923" s="53"/>
      <c r="K1923" s="53"/>
      <c r="L1923" s="53"/>
      <c r="M1923" s="53"/>
    </row>
    <row r="1924" spans="2:13">
      <c r="B1924" s="53"/>
      <c r="C1924" s="53"/>
      <c r="D1924" s="53"/>
      <c r="E1924" s="53"/>
      <c r="F1924" s="53"/>
      <c r="G1924" s="53"/>
      <c r="H1924" s="53"/>
      <c r="I1924" s="53"/>
      <c r="J1924" s="53"/>
      <c r="K1924" s="53"/>
      <c r="L1924" s="53"/>
      <c r="M1924" s="53"/>
    </row>
    <row r="1925" spans="2:13">
      <c r="B1925" s="53"/>
      <c r="C1925" s="53"/>
      <c r="D1925" s="53"/>
      <c r="E1925" s="53"/>
      <c r="F1925" s="53"/>
      <c r="G1925" s="53"/>
      <c r="H1925" s="53"/>
      <c r="I1925" s="53"/>
      <c r="J1925" s="53"/>
      <c r="K1925" s="53"/>
      <c r="L1925" s="53"/>
      <c r="M1925" s="53"/>
    </row>
    <row r="1926" spans="2:13">
      <c r="B1926" s="53"/>
      <c r="C1926" s="53"/>
      <c r="D1926" s="53"/>
      <c r="E1926" s="53"/>
      <c r="F1926" s="53"/>
      <c r="G1926" s="53"/>
      <c r="H1926" s="53"/>
      <c r="I1926" s="53"/>
      <c r="J1926" s="53"/>
      <c r="K1926" s="53"/>
      <c r="L1926" s="53"/>
      <c r="M1926" s="53"/>
    </row>
    <row r="1927" spans="2:13">
      <c r="B1927" s="53"/>
      <c r="C1927" s="53"/>
      <c r="D1927" s="53"/>
      <c r="E1927" s="53"/>
      <c r="F1927" s="53"/>
      <c r="G1927" s="53"/>
      <c r="H1927" s="53"/>
      <c r="I1927" s="53"/>
      <c r="J1927" s="53"/>
      <c r="K1927" s="53"/>
      <c r="L1927" s="53"/>
      <c r="M1927" s="53"/>
    </row>
    <row r="1928" spans="2:13">
      <c r="B1928" s="53"/>
      <c r="C1928" s="53"/>
      <c r="D1928" s="53"/>
      <c r="E1928" s="53"/>
      <c r="F1928" s="53"/>
      <c r="G1928" s="53"/>
      <c r="H1928" s="53"/>
      <c r="I1928" s="53"/>
      <c r="J1928" s="53"/>
      <c r="K1928" s="53"/>
      <c r="L1928" s="53"/>
      <c r="M1928" s="53"/>
    </row>
    <row r="1929" spans="2:13">
      <c r="B1929" s="53"/>
      <c r="C1929" s="53"/>
      <c r="D1929" s="53"/>
      <c r="E1929" s="53"/>
      <c r="F1929" s="53"/>
      <c r="G1929" s="53"/>
      <c r="H1929" s="53"/>
      <c r="I1929" s="53"/>
      <c r="J1929" s="53"/>
      <c r="K1929" s="53"/>
      <c r="L1929" s="53"/>
      <c r="M1929" s="53"/>
    </row>
    <row r="1930" spans="2:13">
      <c r="B1930" s="53"/>
      <c r="C1930" s="53"/>
      <c r="D1930" s="53"/>
      <c r="E1930" s="53"/>
      <c r="F1930" s="53"/>
      <c r="G1930" s="53"/>
      <c r="H1930" s="53"/>
      <c r="I1930" s="53"/>
      <c r="J1930" s="53"/>
      <c r="K1930" s="53"/>
      <c r="L1930" s="53"/>
      <c r="M1930" s="53"/>
    </row>
    <row r="1931" spans="2:13">
      <c r="B1931" s="53"/>
      <c r="C1931" s="53"/>
      <c r="D1931" s="53"/>
      <c r="E1931" s="53"/>
      <c r="F1931" s="53"/>
      <c r="G1931" s="53"/>
      <c r="H1931" s="53"/>
      <c r="I1931" s="53"/>
      <c r="J1931" s="53"/>
      <c r="K1931" s="53"/>
      <c r="L1931" s="53"/>
      <c r="M1931" s="53"/>
    </row>
    <row r="1932" spans="2:13">
      <c r="B1932" s="53"/>
      <c r="C1932" s="53"/>
      <c r="D1932" s="53"/>
      <c r="E1932" s="53"/>
      <c r="F1932" s="53"/>
      <c r="G1932" s="53"/>
      <c r="H1932" s="53"/>
      <c r="I1932" s="53"/>
      <c r="J1932" s="53"/>
      <c r="K1932" s="53"/>
      <c r="L1932" s="53"/>
      <c r="M1932" s="53"/>
    </row>
    <row r="1933" spans="2:13">
      <c r="B1933" s="53"/>
      <c r="C1933" s="53"/>
      <c r="D1933" s="53"/>
      <c r="E1933" s="53"/>
      <c r="F1933" s="53"/>
      <c r="G1933" s="53"/>
      <c r="H1933" s="53"/>
      <c r="I1933" s="53"/>
      <c r="J1933" s="53"/>
      <c r="K1933" s="53"/>
      <c r="L1933" s="53"/>
      <c r="M1933" s="53"/>
    </row>
    <row r="1934" spans="2:13">
      <c r="B1934" s="53"/>
      <c r="C1934" s="53"/>
      <c r="D1934" s="53"/>
      <c r="E1934" s="53"/>
      <c r="F1934" s="53"/>
      <c r="G1934" s="53"/>
      <c r="H1934" s="53"/>
      <c r="I1934" s="53"/>
      <c r="J1934" s="53"/>
      <c r="K1934" s="53"/>
      <c r="L1934" s="53"/>
      <c r="M1934" s="53"/>
    </row>
    <row r="1935" spans="2:13">
      <c r="B1935" s="53"/>
      <c r="C1935" s="53"/>
      <c r="D1935" s="53"/>
      <c r="E1935" s="53"/>
      <c r="F1935" s="53"/>
      <c r="G1935" s="53"/>
      <c r="H1935" s="53"/>
      <c r="I1935" s="53"/>
      <c r="J1935" s="53"/>
      <c r="K1935" s="53"/>
      <c r="L1935" s="53"/>
      <c r="M1935" s="53"/>
    </row>
    <row r="1936" spans="2:13">
      <c r="B1936" s="53"/>
      <c r="C1936" s="53"/>
      <c r="D1936" s="53"/>
      <c r="E1936" s="53"/>
      <c r="F1936" s="53"/>
      <c r="G1936" s="53"/>
      <c r="H1936" s="53"/>
      <c r="I1936" s="53"/>
      <c r="J1936" s="53"/>
      <c r="K1936" s="53"/>
      <c r="L1936" s="53"/>
      <c r="M1936" s="53"/>
    </row>
    <row r="1937" spans="2:13">
      <c r="B1937" s="53"/>
      <c r="C1937" s="53"/>
      <c r="D1937" s="53"/>
      <c r="E1937" s="53"/>
      <c r="F1937" s="53"/>
      <c r="G1937" s="53"/>
      <c r="H1937" s="53"/>
      <c r="I1937" s="53"/>
      <c r="J1937" s="53"/>
      <c r="K1937" s="53"/>
      <c r="L1937" s="53"/>
      <c r="M1937" s="53"/>
    </row>
    <row r="1938" spans="2:13">
      <c r="B1938" s="53"/>
      <c r="C1938" s="53"/>
      <c r="D1938" s="53"/>
      <c r="E1938" s="53"/>
      <c r="F1938" s="53"/>
      <c r="G1938" s="53"/>
      <c r="H1938" s="53"/>
      <c r="I1938" s="53"/>
      <c r="J1938" s="53"/>
      <c r="K1938" s="53"/>
      <c r="L1938" s="53"/>
      <c r="M1938" s="53"/>
    </row>
    <row r="1939" spans="2:13">
      <c r="B1939" s="53"/>
      <c r="C1939" s="53"/>
      <c r="D1939" s="53"/>
      <c r="E1939" s="53"/>
      <c r="F1939" s="53"/>
      <c r="G1939" s="53"/>
      <c r="H1939" s="53"/>
      <c r="I1939" s="53"/>
      <c r="J1939" s="53"/>
      <c r="K1939" s="53"/>
      <c r="L1939" s="53"/>
      <c r="M1939" s="53"/>
    </row>
    <row r="1940" spans="2:13">
      <c r="B1940" s="53"/>
      <c r="C1940" s="53"/>
      <c r="D1940" s="53"/>
      <c r="E1940" s="53"/>
      <c r="F1940" s="53"/>
      <c r="G1940" s="53"/>
      <c r="H1940" s="53"/>
      <c r="I1940" s="53"/>
      <c r="J1940" s="53"/>
      <c r="K1940" s="53"/>
      <c r="L1940" s="53"/>
      <c r="M1940" s="53"/>
    </row>
    <row r="1941" spans="2:13">
      <c r="B1941" s="53"/>
      <c r="C1941" s="53"/>
      <c r="D1941" s="53"/>
      <c r="E1941" s="53"/>
      <c r="F1941" s="53"/>
      <c r="G1941" s="53"/>
      <c r="H1941" s="53"/>
      <c r="I1941" s="53"/>
      <c r="J1941" s="53"/>
      <c r="K1941" s="53"/>
      <c r="L1941" s="53"/>
      <c r="M1941" s="53"/>
    </row>
    <row r="1942" spans="2:13">
      <c r="B1942" s="53"/>
      <c r="C1942" s="53"/>
      <c r="D1942" s="53"/>
      <c r="E1942" s="53"/>
      <c r="F1942" s="53"/>
      <c r="G1942" s="53"/>
      <c r="H1942" s="53"/>
      <c r="I1942" s="53"/>
      <c r="J1942" s="53"/>
      <c r="K1942" s="53"/>
      <c r="L1942" s="53"/>
      <c r="M1942" s="53"/>
    </row>
    <row r="1943" spans="2:13">
      <c r="B1943" s="53"/>
      <c r="C1943" s="53"/>
      <c r="D1943" s="53"/>
      <c r="E1943" s="53"/>
      <c r="F1943" s="53"/>
      <c r="G1943" s="53"/>
      <c r="H1943" s="53"/>
      <c r="I1943" s="53"/>
      <c r="J1943" s="53"/>
      <c r="K1943" s="53"/>
      <c r="L1943" s="53"/>
      <c r="M1943" s="53"/>
    </row>
    <row r="1944" spans="2:13">
      <c r="B1944" s="53"/>
      <c r="C1944" s="53"/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</row>
    <row r="1945" spans="2:13">
      <c r="B1945" s="53"/>
      <c r="C1945" s="53"/>
      <c r="D1945" s="53"/>
      <c r="E1945" s="53"/>
      <c r="F1945" s="53"/>
      <c r="G1945" s="53"/>
      <c r="H1945" s="53"/>
      <c r="I1945" s="53"/>
      <c r="J1945" s="53"/>
      <c r="K1945" s="53"/>
      <c r="L1945" s="53"/>
      <c r="M1945" s="53"/>
    </row>
    <row r="1946" spans="2:13">
      <c r="B1946" s="53"/>
      <c r="C1946" s="53"/>
      <c r="D1946" s="53"/>
      <c r="E1946" s="53"/>
      <c r="F1946" s="53"/>
      <c r="G1946" s="53"/>
      <c r="H1946" s="53"/>
      <c r="I1946" s="53"/>
      <c r="J1946" s="53"/>
      <c r="K1946" s="53"/>
      <c r="L1946" s="53"/>
      <c r="M1946" s="53"/>
    </row>
    <row r="1947" spans="2:13">
      <c r="B1947" s="53"/>
      <c r="C1947" s="53"/>
      <c r="D1947" s="53"/>
      <c r="E1947" s="53"/>
      <c r="F1947" s="53"/>
      <c r="G1947" s="53"/>
      <c r="H1947" s="53"/>
      <c r="I1947" s="53"/>
      <c r="J1947" s="53"/>
      <c r="K1947" s="53"/>
      <c r="L1947" s="53"/>
      <c r="M1947" s="53"/>
    </row>
    <row r="1948" spans="2:13">
      <c r="B1948" s="53"/>
      <c r="C1948" s="53"/>
      <c r="D1948" s="53"/>
      <c r="E1948" s="53"/>
      <c r="F1948" s="53"/>
      <c r="G1948" s="53"/>
      <c r="H1948" s="53"/>
      <c r="I1948" s="53"/>
      <c r="J1948" s="53"/>
      <c r="K1948" s="53"/>
      <c r="L1948" s="53"/>
      <c r="M1948" s="53"/>
    </row>
    <row r="1949" spans="2:13"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</row>
    <row r="1950" spans="2:13">
      <c r="B1950" s="53"/>
      <c r="C1950" s="53"/>
      <c r="D1950" s="53"/>
      <c r="E1950" s="53"/>
      <c r="F1950" s="53"/>
      <c r="G1950" s="53"/>
      <c r="H1950" s="53"/>
      <c r="I1950" s="53"/>
      <c r="J1950" s="53"/>
      <c r="K1950" s="53"/>
      <c r="L1950" s="53"/>
      <c r="M1950" s="53"/>
    </row>
    <row r="1951" spans="2:13">
      <c r="B1951" s="53"/>
      <c r="C1951" s="53"/>
      <c r="D1951" s="53"/>
      <c r="E1951" s="53"/>
      <c r="F1951" s="53"/>
      <c r="G1951" s="53"/>
      <c r="H1951" s="53"/>
      <c r="I1951" s="53"/>
      <c r="J1951" s="53"/>
      <c r="K1951" s="53"/>
      <c r="L1951" s="53"/>
      <c r="M1951" s="53"/>
    </row>
    <row r="1952" spans="2:13">
      <c r="B1952" s="53"/>
      <c r="C1952" s="53"/>
      <c r="D1952" s="53"/>
      <c r="E1952" s="53"/>
      <c r="F1952" s="53"/>
      <c r="G1952" s="53"/>
      <c r="H1952" s="53"/>
      <c r="I1952" s="53"/>
      <c r="J1952" s="53"/>
      <c r="K1952" s="53"/>
      <c r="L1952" s="53"/>
      <c r="M1952" s="53"/>
    </row>
    <row r="1953" spans="2:13">
      <c r="B1953" s="53"/>
      <c r="C1953" s="53"/>
      <c r="D1953" s="53"/>
      <c r="E1953" s="53"/>
      <c r="F1953" s="53"/>
      <c r="G1953" s="53"/>
      <c r="H1953" s="53"/>
      <c r="I1953" s="53"/>
      <c r="J1953" s="53"/>
      <c r="K1953" s="53"/>
      <c r="L1953" s="53"/>
      <c r="M1953" s="53"/>
    </row>
    <row r="1954" spans="2:13">
      <c r="B1954" s="53"/>
      <c r="C1954" s="53"/>
      <c r="D1954" s="53"/>
      <c r="E1954" s="53"/>
      <c r="F1954" s="53"/>
      <c r="G1954" s="53"/>
      <c r="H1954" s="53"/>
      <c r="I1954" s="53"/>
      <c r="J1954" s="53"/>
      <c r="K1954" s="53"/>
      <c r="L1954" s="53"/>
      <c r="M1954" s="53"/>
    </row>
    <row r="1955" spans="2:13">
      <c r="B1955" s="53"/>
      <c r="C1955" s="53"/>
      <c r="D1955" s="53"/>
      <c r="E1955" s="53"/>
      <c r="F1955" s="53"/>
      <c r="G1955" s="53"/>
      <c r="H1955" s="53"/>
      <c r="I1955" s="53"/>
      <c r="J1955" s="53"/>
      <c r="K1955" s="53"/>
      <c r="L1955" s="53"/>
      <c r="M1955" s="53"/>
    </row>
    <row r="1956" spans="2:13">
      <c r="B1956" s="53"/>
      <c r="C1956" s="53"/>
      <c r="D1956" s="53"/>
      <c r="E1956" s="53"/>
      <c r="F1956" s="53"/>
      <c r="G1956" s="53"/>
      <c r="H1956" s="53"/>
      <c r="I1956" s="53"/>
      <c r="J1956" s="53"/>
      <c r="K1956" s="53"/>
      <c r="L1956" s="53"/>
      <c r="M1956" s="53"/>
    </row>
    <row r="1957" spans="2:13">
      <c r="B1957" s="53"/>
      <c r="C1957" s="53"/>
      <c r="D1957" s="53"/>
      <c r="E1957" s="53"/>
      <c r="F1957" s="53"/>
      <c r="G1957" s="53"/>
      <c r="H1957" s="53"/>
      <c r="I1957" s="53"/>
      <c r="J1957" s="53"/>
      <c r="K1957" s="53"/>
      <c r="L1957" s="53"/>
      <c r="M1957" s="53"/>
    </row>
    <row r="1958" spans="2:13">
      <c r="B1958" s="53"/>
      <c r="C1958" s="53"/>
      <c r="D1958" s="53"/>
      <c r="E1958" s="53"/>
      <c r="F1958" s="53"/>
      <c r="G1958" s="53"/>
      <c r="H1958" s="53"/>
      <c r="I1958" s="53"/>
      <c r="J1958" s="53"/>
      <c r="K1958" s="53"/>
      <c r="L1958" s="53"/>
      <c r="M1958" s="53"/>
    </row>
    <row r="1959" spans="2:13">
      <c r="B1959" s="53"/>
      <c r="C1959" s="53"/>
      <c r="D1959" s="53"/>
      <c r="E1959" s="53"/>
      <c r="F1959" s="53"/>
      <c r="G1959" s="53"/>
      <c r="H1959" s="53"/>
      <c r="I1959" s="53"/>
      <c r="J1959" s="53"/>
      <c r="K1959" s="53"/>
      <c r="L1959" s="53"/>
      <c r="M1959" s="53"/>
    </row>
    <row r="1960" spans="2:13">
      <c r="B1960" s="53"/>
      <c r="C1960" s="53"/>
      <c r="D1960" s="53"/>
      <c r="E1960" s="53"/>
      <c r="F1960" s="53"/>
      <c r="G1960" s="53"/>
      <c r="H1960" s="53"/>
      <c r="I1960" s="53"/>
      <c r="J1960" s="53"/>
      <c r="K1960" s="53"/>
      <c r="L1960" s="53"/>
      <c r="M1960" s="53"/>
    </row>
    <row r="1961" spans="2:13">
      <c r="B1961" s="53"/>
      <c r="C1961" s="53"/>
      <c r="D1961" s="53"/>
      <c r="E1961" s="53"/>
      <c r="F1961" s="53"/>
      <c r="G1961" s="53"/>
      <c r="H1961" s="53"/>
      <c r="I1961" s="53"/>
      <c r="J1961" s="53"/>
      <c r="K1961" s="53"/>
      <c r="L1961" s="53"/>
      <c r="M1961" s="53"/>
    </row>
    <row r="1962" spans="2:13">
      <c r="B1962" s="53"/>
      <c r="C1962" s="53"/>
      <c r="D1962" s="53"/>
      <c r="E1962" s="53"/>
      <c r="F1962" s="53"/>
      <c r="G1962" s="53"/>
      <c r="H1962" s="53"/>
      <c r="I1962" s="53"/>
      <c r="J1962" s="53"/>
      <c r="K1962" s="53"/>
      <c r="L1962" s="53"/>
      <c r="M1962" s="53"/>
    </row>
    <row r="1963" spans="2:13">
      <c r="B1963" s="53"/>
      <c r="C1963" s="53"/>
      <c r="D1963" s="53"/>
      <c r="E1963" s="53"/>
      <c r="F1963" s="53"/>
      <c r="G1963" s="53"/>
      <c r="H1963" s="53"/>
      <c r="I1963" s="53"/>
      <c r="J1963" s="53"/>
      <c r="K1963" s="53"/>
      <c r="L1963" s="53"/>
      <c r="M1963" s="53"/>
    </row>
    <row r="1964" spans="2:13">
      <c r="B1964" s="53"/>
      <c r="C1964" s="53"/>
      <c r="D1964" s="53"/>
      <c r="E1964" s="53"/>
      <c r="F1964" s="53"/>
      <c r="G1964" s="53"/>
      <c r="H1964" s="53"/>
      <c r="I1964" s="53"/>
      <c r="J1964" s="53"/>
      <c r="K1964" s="53"/>
      <c r="L1964" s="53"/>
      <c r="M1964" s="53"/>
    </row>
    <row r="1965" spans="2:13">
      <c r="B1965" s="53"/>
      <c r="C1965" s="53"/>
      <c r="D1965" s="53"/>
      <c r="E1965" s="53"/>
      <c r="F1965" s="53"/>
      <c r="G1965" s="53"/>
      <c r="H1965" s="53"/>
      <c r="I1965" s="53"/>
      <c r="J1965" s="53"/>
      <c r="K1965" s="53"/>
      <c r="L1965" s="53"/>
      <c r="M1965" s="53"/>
    </row>
    <row r="1966" spans="2:13">
      <c r="B1966" s="53"/>
      <c r="C1966" s="53"/>
      <c r="D1966" s="53"/>
      <c r="E1966" s="53"/>
      <c r="F1966" s="53"/>
      <c r="G1966" s="53"/>
      <c r="H1966" s="53"/>
      <c r="I1966" s="53"/>
      <c r="J1966" s="53"/>
      <c r="K1966" s="53"/>
      <c r="L1966" s="53"/>
      <c r="M1966" s="53"/>
    </row>
    <row r="1967" spans="2:13">
      <c r="B1967" s="53"/>
      <c r="C1967" s="53"/>
      <c r="D1967" s="53"/>
      <c r="E1967" s="53"/>
      <c r="F1967" s="53"/>
      <c r="G1967" s="53"/>
      <c r="H1967" s="53"/>
      <c r="I1967" s="53"/>
      <c r="J1967" s="53"/>
      <c r="K1967" s="53"/>
      <c r="L1967" s="53"/>
      <c r="M1967" s="53"/>
    </row>
    <row r="1968" spans="2:13">
      <c r="B1968" s="53"/>
      <c r="C1968" s="53"/>
      <c r="D1968" s="53"/>
      <c r="E1968" s="53"/>
      <c r="F1968" s="53"/>
      <c r="G1968" s="53"/>
      <c r="H1968" s="53"/>
      <c r="I1968" s="53"/>
      <c r="J1968" s="53"/>
      <c r="K1968" s="53"/>
      <c r="L1968" s="53"/>
      <c r="M1968" s="53"/>
    </row>
    <row r="1969" spans="2:13">
      <c r="B1969" s="53"/>
      <c r="C1969" s="53"/>
      <c r="D1969" s="53"/>
      <c r="E1969" s="53"/>
      <c r="F1969" s="53"/>
      <c r="G1969" s="53"/>
      <c r="H1969" s="53"/>
      <c r="I1969" s="53"/>
      <c r="J1969" s="53"/>
      <c r="K1969" s="53"/>
      <c r="L1969" s="53"/>
      <c r="M1969" s="53"/>
    </row>
    <row r="1970" spans="2:13">
      <c r="B1970" s="53"/>
      <c r="C1970" s="53"/>
      <c r="D1970" s="53"/>
      <c r="E1970" s="53"/>
      <c r="F1970" s="53"/>
      <c r="G1970" s="53"/>
      <c r="H1970" s="53"/>
      <c r="I1970" s="53"/>
      <c r="J1970" s="53"/>
      <c r="K1970" s="53"/>
      <c r="L1970" s="53"/>
      <c r="M1970" s="53"/>
    </row>
    <row r="1971" spans="2:13">
      <c r="B1971" s="53"/>
      <c r="C1971" s="53"/>
      <c r="D1971" s="53"/>
      <c r="E1971" s="53"/>
      <c r="F1971" s="53"/>
      <c r="G1971" s="53"/>
      <c r="H1971" s="53"/>
      <c r="I1971" s="53"/>
      <c r="J1971" s="53"/>
      <c r="K1971" s="53"/>
      <c r="L1971" s="53"/>
      <c r="M1971" s="53"/>
    </row>
    <row r="1972" spans="2:13">
      <c r="B1972" s="53"/>
      <c r="C1972" s="53"/>
      <c r="D1972" s="53"/>
      <c r="E1972" s="53"/>
      <c r="F1972" s="53"/>
      <c r="G1972" s="53"/>
      <c r="H1972" s="53"/>
      <c r="I1972" s="53"/>
      <c r="J1972" s="53"/>
      <c r="K1972" s="53"/>
      <c r="L1972" s="53"/>
      <c r="M1972" s="53"/>
    </row>
    <row r="1973" spans="2:13">
      <c r="B1973" s="53"/>
      <c r="C1973" s="53"/>
      <c r="D1973" s="53"/>
      <c r="E1973" s="53"/>
      <c r="F1973" s="53"/>
      <c r="G1973" s="53"/>
      <c r="H1973" s="53"/>
      <c r="I1973" s="53"/>
      <c r="J1973" s="53"/>
      <c r="K1973" s="53"/>
      <c r="L1973" s="53"/>
      <c r="M1973" s="53"/>
    </row>
    <row r="1974" spans="2:13">
      <c r="B1974" s="53"/>
      <c r="C1974" s="53"/>
      <c r="D1974" s="53"/>
      <c r="E1974" s="53"/>
      <c r="F1974" s="53"/>
      <c r="G1974" s="53"/>
      <c r="H1974" s="53"/>
      <c r="I1974" s="53"/>
      <c r="J1974" s="53"/>
      <c r="K1974" s="53"/>
      <c r="L1974" s="53"/>
      <c r="M1974" s="53"/>
    </row>
    <row r="1975" spans="2:13">
      <c r="B1975" s="53"/>
      <c r="C1975" s="53"/>
      <c r="D1975" s="53"/>
      <c r="E1975" s="53"/>
      <c r="F1975" s="53"/>
      <c r="G1975" s="53"/>
      <c r="H1975" s="53"/>
      <c r="I1975" s="53"/>
      <c r="J1975" s="53"/>
      <c r="K1975" s="53"/>
      <c r="L1975" s="53"/>
      <c r="M1975" s="53"/>
    </row>
    <row r="1976" spans="2:13">
      <c r="B1976" s="53"/>
      <c r="C1976" s="53"/>
      <c r="D1976" s="53"/>
      <c r="E1976" s="53"/>
      <c r="F1976" s="53"/>
      <c r="G1976" s="53"/>
      <c r="H1976" s="53"/>
      <c r="I1976" s="53"/>
      <c r="J1976" s="53"/>
      <c r="K1976" s="53"/>
      <c r="L1976" s="53"/>
      <c r="M1976" s="53"/>
    </row>
    <row r="1977" spans="2:13">
      <c r="B1977" s="53"/>
      <c r="C1977" s="53"/>
      <c r="D1977" s="53"/>
      <c r="E1977" s="53"/>
      <c r="F1977" s="53"/>
      <c r="G1977" s="53"/>
      <c r="H1977" s="53"/>
      <c r="I1977" s="53"/>
      <c r="J1977" s="53"/>
      <c r="K1977" s="53"/>
      <c r="L1977" s="53"/>
      <c r="M1977" s="53"/>
    </row>
    <row r="1978" spans="2:13">
      <c r="B1978" s="53"/>
      <c r="C1978" s="53"/>
      <c r="D1978" s="53"/>
      <c r="E1978" s="53"/>
      <c r="F1978" s="53"/>
      <c r="G1978" s="53"/>
      <c r="H1978" s="53"/>
      <c r="I1978" s="53"/>
      <c r="J1978" s="53"/>
      <c r="K1978" s="53"/>
      <c r="L1978" s="53"/>
      <c r="M1978" s="53"/>
    </row>
    <row r="1979" spans="2:13">
      <c r="B1979" s="53"/>
      <c r="C1979" s="53"/>
      <c r="D1979" s="53"/>
      <c r="E1979" s="53"/>
      <c r="F1979" s="53"/>
      <c r="G1979" s="53"/>
      <c r="H1979" s="53"/>
      <c r="I1979" s="53"/>
      <c r="J1979" s="53"/>
      <c r="K1979" s="53"/>
      <c r="L1979" s="53"/>
      <c r="M1979" s="53"/>
    </row>
    <row r="1980" spans="2:13">
      <c r="B1980" s="53"/>
      <c r="C1980" s="53"/>
      <c r="D1980" s="53"/>
      <c r="E1980" s="53"/>
      <c r="F1980" s="53"/>
      <c r="G1980" s="53"/>
      <c r="H1980" s="53"/>
      <c r="I1980" s="53"/>
      <c r="J1980" s="53"/>
      <c r="K1980" s="53"/>
      <c r="L1980" s="53"/>
      <c r="M1980" s="53"/>
    </row>
    <row r="1981" spans="2:13">
      <c r="B1981" s="53"/>
      <c r="C1981" s="53"/>
      <c r="D1981" s="53"/>
      <c r="E1981" s="53"/>
      <c r="F1981" s="53"/>
      <c r="G1981" s="53"/>
      <c r="H1981" s="53"/>
      <c r="I1981" s="53"/>
      <c r="J1981" s="53"/>
      <c r="K1981" s="53"/>
      <c r="L1981" s="53"/>
      <c r="M1981" s="53"/>
    </row>
    <row r="1982" spans="2:13">
      <c r="B1982" s="53"/>
      <c r="C1982" s="53"/>
      <c r="D1982" s="53"/>
      <c r="E1982" s="53"/>
      <c r="F1982" s="53"/>
      <c r="G1982" s="53"/>
      <c r="H1982" s="53"/>
      <c r="I1982" s="53"/>
      <c r="J1982" s="53"/>
      <c r="K1982" s="53"/>
      <c r="L1982" s="53"/>
      <c r="M1982" s="53"/>
    </row>
    <row r="1983" spans="2:13">
      <c r="B1983" s="53"/>
      <c r="C1983" s="53"/>
      <c r="D1983" s="53"/>
      <c r="E1983" s="53"/>
      <c r="F1983" s="53"/>
      <c r="G1983" s="53"/>
      <c r="H1983" s="53"/>
      <c r="I1983" s="53"/>
      <c r="J1983" s="53"/>
      <c r="K1983" s="53"/>
      <c r="L1983" s="53"/>
      <c r="M1983" s="53"/>
    </row>
    <row r="1984" spans="2:13">
      <c r="B1984" s="53"/>
      <c r="C1984" s="53"/>
      <c r="D1984" s="53"/>
      <c r="E1984" s="53"/>
      <c r="F1984" s="53"/>
      <c r="G1984" s="53"/>
      <c r="H1984" s="53"/>
      <c r="I1984" s="53"/>
      <c r="J1984" s="53"/>
      <c r="K1984" s="53"/>
      <c r="L1984" s="53"/>
      <c r="M1984" s="53"/>
    </row>
    <row r="1985" spans="2:13">
      <c r="B1985" s="53"/>
      <c r="C1985" s="53"/>
      <c r="D1985" s="53"/>
      <c r="E1985" s="53"/>
      <c r="F1985" s="53"/>
      <c r="G1985" s="53"/>
      <c r="H1985" s="53"/>
      <c r="I1985" s="53"/>
      <c r="J1985" s="53"/>
      <c r="K1985" s="53"/>
      <c r="L1985" s="53"/>
      <c r="M1985" s="53"/>
    </row>
    <row r="1986" spans="2:13">
      <c r="B1986" s="53"/>
      <c r="C1986" s="53"/>
      <c r="D1986" s="53"/>
      <c r="E1986" s="53"/>
      <c r="F1986" s="53"/>
      <c r="G1986" s="53"/>
      <c r="H1986" s="53"/>
      <c r="I1986" s="53"/>
      <c r="J1986" s="53"/>
      <c r="K1986" s="53"/>
      <c r="L1986" s="53"/>
      <c r="M1986" s="53"/>
    </row>
    <row r="1987" spans="2:13">
      <c r="B1987" s="53"/>
      <c r="C1987" s="53"/>
      <c r="D1987" s="53"/>
      <c r="E1987" s="53"/>
      <c r="F1987" s="53"/>
      <c r="G1987" s="53"/>
      <c r="H1987" s="53"/>
      <c r="I1987" s="53"/>
      <c r="J1987" s="53"/>
      <c r="K1987" s="53"/>
      <c r="L1987" s="53"/>
      <c r="M1987" s="53"/>
    </row>
    <row r="1988" spans="2:13">
      <c r="B1988" s="53"/>
      <c r="C1988" s="53"/>
      <c r="D1988" s="53"/>
      <c r="E1988" s="53"/>
      <c r="F1988" s="53"/>
      <c r="G1988" s="53"/>
      <c r="H1988" s="53"/>
      <c r="I1988" s="53"/>
      <c r="J1988" s="53"/>
      <c r="K1988" s="53"/>
      <c r="L1988" s="53"/>
      <c r="M1988" s="53"/>
    </row>
    <row r="1989" spans="2:13">
      <c r="B1989" s="53"/>
      <c r="C1989" s="53"/>
      <c r="D1989" s="53"/>
      <c r="E1989" s="53"/>
      <c r="F1989" s="53"/>
      <c r="G1989" s="53"/>
      <c r="H1989" s="53"/>
      <c r="I1989" s="53"/>
      <c r="J1989" s="53"/>
      <c r="K1989" s="53"/>
      <c r="L1989" s="53"/>
      <c r="M1989" s="53"/>
    </row>
    <row r="1990" spans="2:13">
      <c r="B1990" s="53"/>
      <c r="C1990" s="53"/>
      <c r="D1990" s="53"/>
      <c r="E1990" s="53"/>
      <c r="F1990" s="53"/>
      <c r="G1990" s="53"/>
      <c r="H1990" s="53"/>
      <c r="I1990" s="53"/>
      <c r="J1990" s="53"/>
      <c r="K1990" s="53"/>
      <c r="L1990" s="53"/>
      <c r="M1990" s="53"/>
    </row>
    <row r="1991" spans="2:13">
      <c r="B1991" s="53"/>
      <c r="C1991" s="53"/>
      <c r="D1991" s="53"/>
      <c r="E1991" s="53"/>
      <c r="F1991" s="53"/>
      <c r="G1991" s="53"/>
      <c r="H1991" s="53"/>
      <c r="I1991" s="53"/>
      <c r="J1991" s="53"/>
      <c r="K1991" s="53"/>
      <c r="L1991" s="53"/>
      <c r="M1991" s="53"/>
    </row>
    <row r="1992" spans="2:13">
      <c r="B1992" s="53"/>
      <c r="C1992" s="53"/>
      <c r="D1992" s="53"/>
      <c r="E1992" s="53"/>
      <c r="F1992" s="53"/>
      <c r="G1992" s="53"/>
      <c r="H1992" s="53"/>
      <c r="I1992" s="53"/>
      <c r="J1992" s="53"/>
      <c r="K1992" s="53"/>
      <c r="L1992" s="53"/>
      <c r="M1992" s="53"/>
    </row>
    <row r="1993" spans="2:13">
      <c r="B1993" s="53"/>
      <c r="C1993" s="53"/>
      <c r="D1993" s="53"/>
      <c r="E1993" s="53"/>
      <c r="F1993" s="53"/>
      <c r="G1993" s="53"/>
      <c r="H1993" s="53"/>
      <c r="I1993" s="53"/>
      <c r="J1993" s="53"/>
      <c r="K1993" s="53"/>
      <c r="L1993" s="53"/>
      <c r="M1993" s="53"/>
    </row>
    <row r="1994" spans="2:13">
      <c r="B1994" s="53"/>
      <c r="C1994" s="53"/>
      <c r="D1994" s="53"/>
      <c r="E1994" s="53"/>
      <c r="F1994" s="53"/>
      <c r="G1994" s="53"/>
      <c r="H1994" s="53"/>
      <c r="I1994" s="53"/>
      <c r="J1994" s="53"/>
      <c r="K1994" s="53"/>
      <c r="L1994" s="53"/>
      <c r="M1994" s="53"/>
    </row>
    <row r="1995" spans="2:13">
      <c r="B1995" s="53"/>
      <c r="C1995" s="53"/>
      <c r="D1995" s="53"/>
      <c r="E1995" s="53"/>
      <c r="F1995" s="53"/>
      <c r="G1995" s="53"/>
      <c r="H1995" s="53"/>
      <c r="I1995" s="53"/>
      <c r="J1995" s="53"/>
      <c r="K1995" s="53"/>
      <c r="L1995" s="53"/>
      <c r="M1995" s="53"/>
    </row>
    <row r="1996" spans="2:13">
      <c r="B1996" s="53"/>
      <c r="C1996" s="53"/>
      <c r="D1996" s="53"/>
      <c r="E1996" s="53"/>
      <c r="F1996" s="53"/>
      <c r="G1996" s="53"/>
      <c r="H1996" s="53"/>
      <c r="I1996" s="53"/>
      <c r="J1996" s="53"/>
      <c r="K1996" s="53"/>
      <c r="L1996" s="53"/>
      <c r="M1996" s="53"/>
    </row>
    <row r="1997" spans="2:13">
      <c r="B1997" s="53"/>
      <c r="C1997" s="53"/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</row>
    <row r="1998" spans="2:13">
      <c r="B1998" s="53"/>
      <c r="C1998" s="53"/>
      <c r="D1998" s="53"/>
      <c r="E1998" s="53"/>
      <c r="F1998" s="53"/>
      <c r="G1998" s="53"/>
      <c r="H1998" s="53"/>
      <c r="I1998" s="53"/>
      <c r="J1998" s="53"/>
      <c r="K1998" s="53"/>
      <c r="L1998" s="53"/>
      <c r="M1998" s="53"/>
    </row>
    <row r="1999" spans="2:13">
      <c r="B1999" s="53"/>
      <c r="C1999" s="53"/>
      <c r="D1999" s="53"/>
      <c r="E1999" s="53"/>
      <c r="F1999" s="53"/>
      <c r="G1999" s="53"/>
      <c r="H1999" s="53"/>
      <c r="I1999" s="53"/>
      <c r="J1999" s="53"/>
      <c r="K1999" s="53"/>
      <c r="L1999" s="53"/>
      <c r="M1999" s="53"/>
    </row>
    <row r="2000" spans="2:13">
      <c r="B2000" s="53"/>
      <c r="C2000" s="53"/>
      <c r="D2000" s="53"/>
      <c r="E2000" s="53"/>
      <c r="F2000" s="53"/>
      <c r="G2000" s="53"/>
      <c r="H2000" s="53"/>
      <c r="I2000" s="53"/>
      <c r="J2000" s="53"/>
      <c r="K2000" s="53"/>
      <c r="L2000" s="53"/>
      <c r="M2000" s="53"/>
    </row>
    <row r="2001" spans="2:13">
      <c r="B2001" s="53"/>
      <c r="C2001" s="53"/>
      <c r="D2001" s="53"/>
      <c r="E2001" s="53"/>
      <c r="F2001" s="53"/>
      <c r="G2001" s="53"/>
      <c r="H2001" s="53"/>
      <c r="I2001" s="53"/>
      <c r="J2001" s="53"/>
      <c r="K2001" s="53"/>
      <c r="L2001" s="53"/>
      <c r="M2001" s="53"/>
    </row>
    <row r="2002" spans="2:13"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</row>
    <row r="2003" spans="2:13">
      <c r="B2003" s="53"/>
      <c r="C2003" s="53"/>
      <c r="D2003" s="53"/>
      <c r="E2003" s="53"/>
      <c r="F2003" s="53"/>
      <c r="G2003" s="53"/>
      <c r="H2003" s="53"/>
      <c r="I2003" s="53"/>
      <c r="J2003" s="53"/>
      <c r="K2003" s="53"/>
      <c r="L2003" s="53"/>
      <c r="M2003" s="53"/>
    </row>
    <row r="2004" spans="2:13">
      <c r="B2004" s="53"/>
      <c r="C2004" s="53"/>
      <c r="D2004" s="53"/>
      <c r="E2004" s="53"/>
      <c r="F2004" s="53"/>
      <c r="G2004" s="53"/>
      <c r="H2004" s="53"/>
      <c r="I2004" s="53"/>
      <c r="J2004" s="53"/>
      <c r="K2004" s="53"/>
      <c r="L2004" s="53"/>
      <c r="M2004" s="53"/>
    </row>
    <row r="2005" spans="2:13">
      <c r="B2005" s="53"/>
      <c r="C2005" s="53"/>
      <c r="D2005" s="53"/>
      <c r="E2005" s="53"/>
      <c r="F2005" s="53"/>
      <c r="G2005" s="53"/>
      <c r="H2005" s="53"/>
      <c r="I2005" s="53"/>
      <c r="J2005" s="53"/>
      <c r="K2005" s="53"/>
      <c r="L2005" s="53"/>
      <c r="M2005" s="53"/>
    </row>
    <row r="2006" spans="2:13">
      <c r="B2006" s="53"/>
      <c r="C2006" s="53"/>
      <c r="D2006" s="53"/>
      <c r="E2006" s="53"/>
      <c r="F2006" s="53"/>
      <c r="G2006" s="53"/>
      <c r="H2006" s="53"/>
      <c r="I2006" s="53"/>
      <c r="J2006" s="53"/>
      <c r="K2006" s="53"/>
      <c r="L2006" s="53"/>
      <c r="M2006" s="53"/>
    </row>
    <row r="2007" spans="2:13">
      <c r="B2007" s="53"/>
      <c r="C2007" s="53"/>
      <c r="D2007" s="53"/>
      <c r="E2007" s="53"/>
      <c r="F2007" s="53"/>
      <c r="G2007" s="53"/>
      <c r="H2007" s="53"/>
      <c r="I2007" s="53"/>
      <c r="J2007" s="53"/>
      <c r="K2007" s="53"/>
      <c r="L2007" s="53"/>
      <c r="M2007" s="53"/>
    </row>
    <row r="2008" spans="2:13">
      <c r="B2008" s="53"/>
      <c r="C2008" s="53"/>
      <c r="D2008" s="53"/>
      <c r="E2008" s="53"/>
      <c r="F2008" s="53"/>
      <c r="G2008" s="53"/>
      <c r="H2008" s="53"/>
      <c r="I2008" s="53"/>
      <c r="J2008" s="53"/>
      <c r="K2008" s="53"/>
      <c r="L2008" s="53"/>
      <c r="M2008" s="53"/>
    </row>
    <row r="2009" spans="2:13">
      <c r="B2009" s="53"/>
      <c r="C2009" s="53"/>
      <c r="D2009" s="53"/>
      <c r="E2009" s="53"/>
      <c r="F2009" s="53"/>
      <c r="G2009" s="53"/>
      <c r="H2009" s="53"/>
      <c r="I2009" s="53"/>
      <c r="J2009" s="53"/>
      <c r="K2009" s="53"/>
      <c r="L2009" s="53"/>
      <c r="M2009" s="53"/>
    </row>
    <row r="2010" spans="2:13">
      <c r="B2010" s="53"/>
      <c r="C2010" s="53"/>
      <c r="D2010" s="53"/>
      <c r="E2010" s="53"/>
      <c r="F2010" s="53"/>
      <c r="G2010" s="53"/>
      <c r="H2010" s="53"/>
      <c r="I2010" s="53"/>
      <c r="J2010" s="53"/>
      <c r="K2010" s="53"/>
      <c r="L2010" s="53"/>
      <c r="M2010" s="53"/>
    </row>
    <row r="2011" spans="2:13">
      <c r="B2011" s="53"/>
      <c r="C2011" s="53"/>
      <c r="D2011" s="53"/>
      <c r="E2011" s="53"/>
      <c r="F2011" s="53"/>
      <c r="G2011" s="53"/>
      <c r="H2011" s="53"/>
      <c r="I2011" s="53"/>
      <c r="J2011" s="53"/>
      <c r="K2011" s="53"/>
      <c r="L2011" s="53"/>
      <c r="M2011" s="53"/>
    </row>
    <row r="2012" spans="2:13">
      <c r="B2012" s="53"/>
      <c r="C2012" s="53"/>
      <c r="D2012" s="53"/>
      <c r="E2012" s="53"/>
      <c r="F2012" s="53"/>
      <c r="G2012" s="53"/>
      <c r="H2012" s="53"/>
      <c r="I2012" s="53"/>
      <c r="J2012" s="53"/>
      <c r="K2012" s="53"/>
      <c r="L2012" s="53"/>
      <c r="M2012" s="53"/>
    </row>
    <row r="2013" spans="2:13">
      <c r="B2013" s="53"/>
      <c r="C2013" s="53"/>
      <c r="D2013" s="53"/>
      <c r="E2013" s="53"/>
      <c r="F2013" s="53"/>
      <c r="G2013" s="53"/>
      <c r="H2013" s="53"/>
      <c r="I2013" s="53"/>
      <c r="J2013" s="53"/>
      <c r="K2013" s="53"/>
      <c r="L2013" s="53"/>
      <c r="M2013" s="53"/>
    </row>
    <row r="2014" spans="2:13">
      <c r="B2014" s="53"/>
      <c r="C2014" s="53"/>
      <c r="D2014" s="53"/>
      <c r="E2014" s="53"/>
      <c r="F2014" s="53"/>
      <c r="G2014" s="53"/>
      <c r="H2014" s="53"/>
      <c r="I2014" s="53"/>
      <c r="J2014" s="53"/>
      <c r="K2014" s="53"/>
      <c r="L2014" s="53"/>
      <c r="M2014" s="53"/>
    </row>
    <row r="2015" spans="2:13">
      <c r="B2015" s="53"/>
      <c r="C2015" s="53"/>
      <c r="D2015" s="53"/>
      <c r="E2015" s="53"/>
      <c r="F2015" s="53"/>
      <c r="G2015" s="53"/>
      <c r="H2015" s="53"/>
      <c r="I2015" s="53"/>
      <c r="J2015" s="53"/>
      <c r="K2015" s="53"/>
      <c r="L2015" s="53"/>
      <c r="M2015" s="53"/>
    </row>
    <row r="2016" spans="2:13">
      <c r="B2016" s="53"/>
      <c r="C2016" s="53"/>
      <c r="D2016" s="53"/>
      <c r="E2016" s="53"/>
      <c r="F2016" s="53"/>
      <c r="G2016" s="53"/>
      <c r="H2016" s="53"/>
      <c r="I2016" s="53"/>
      <c r="J2016" s="53"/>
      <c r="K2016" s="53"/>
      <c r="L2016" s="53"/>
      <c r="M2016" s="53"/>
    </row>
    <row r="2017" spans="2:13">
      <c r="B2017" s="53"/>
      <c r="C2017" s="53"/>
      <c r="D2017" s="53"/>
      <c r="E2017" s="53"/>
      <c r="F2017" s="53"/>
      <c r="G2017" s="53"/>
      <c r="H2017" s="53"/>
      <c r="I2017" s="53"/>
      <c r="J2017" s="53"/>
      <c r="K2017" s="53"/>
      <c r="L2017" s="53"/>
      <c r="M2017" s="53"/>
    </row>
    <row r="2018" spans="2:13">
      <c r="B2018" s="53"/>
      <c r="C2018" s="53"/>
      <c r="D2018" s="53"/>
      <c r="E2018" s="53"/>
      <c r="F2018" s="53"/>
      <c r="G2018" s="53"/>
      <c r="H2018" s="53"/>
      <c r="I2018" s="53"/>
      <c r="J2018" s="53"/>
      <c r="K2018" s="53"/>
      <c r="L2018" s="53"/>
      <c r="M2018" s="53"/>
    </row>
    <row r="2019" spans="2:13">
      <c r="B2019" s="53"/>
      <c r="C2019" s="53"/>
      <c r="D2019" s="53"/>
      <c r="E2019" s="53"/>
      <c r="F2019" s="53"/>
      <c r="G2019" s="53"/>
      <c r="H2019" s="53"/>
      <c r="I2019" s="53"/>
      <c r="J2019" s="53"/>
      <c r="K2019" s="53"/>
      <c r="L2019" s="53"/>
      <c r="M2019" s="53"/>
    </row>
    <row r="2020" spans="2:13">
      <c r="B2020" s="53"/>
      <c r="C2020" s="53"/>
      <c r="D2020" s="53"/>
      <c r="E2020" s="53"/>
      <c r="F2020" s="53"/>
      <c r="G2020" s="53"/>
      <c r="H2020" s="53"/>
      <c r="I2020" s="53"/>
      <c r="J2020" s="53"/>
      <c r="K2020" s="53"/>
      <c r="L2020" s="53"/>
      <c r="M2020" s="53"/>
    </row>
    <row r="2021" spans="2:13">
      <c r="B2021" s="53"/>
      <c r="C2021" s="53"/>
      <c r="D2021" s="53"/>
      <c r="E2021" s="53"/>
      <c r="F2021" s="53"/>
      <c r="G2021" s="53"/>
      <c r="H2021" s="53"/>
      <c r="I2021" s="53"/>
      <c r="J2021" s="53"/>
      <c r="K2021" s="53"/>
      <c r="L2021" s="53"/>
      <c r="M2021" s="53"/>
    </row>
    <row r="2022" spans="2:13">
      <c r="B2022" s="53"/>
      <c r="C2022" s="53"/>
      <c r="D2022" s="53"/>
      <c r="E2022" s="53"/>
      <c r="F2022" s="53"/>
      <c r="G2022" s="53"/>
      <c r="H2022" s="53"/>
      <c r="I2022" s="53"/>
      <c r="J2022" s="53"/>
      <c r="K2022" s="53"/>
      <c r="L2022" s="53"/>
      <c r="M2022" s="53"/>
    </row>
    <row r="2023" spans="2:13">
      <c r="B2023" s="53"/>
      <c r="C2023" s="53"/>
      <c r="D2023" s="53"/>
      <c r="E2023" s="53"/>
      <c r="F2023" s="53"/>
      <c r="G2023" s="53"/>
      <c r="H2023" s="53"/>
      <c r="I2023" s="53"/>
      <c r="J2023" s="53"/>
      <c r="K2023" s="53"/>
      <c r="L2023" s="53"/>
      <c r="M2023" s="53"/>
    </row>
    <row r="2024" spans="2:13">
      <c r="B2024" s="53"/>
      <c r="C2024" s="53"/>
      <c r="D2024" s="53"/>
      <c r="E2024" s="53"/>
      <c r="F2024" s="53"/>
      <c r="G2024" s="53"/>
      <c r="H2024" s="53"/>
      <c r="I2024" s="53"/>
      <c r="J2024" s="53"/>
      <c r="K2024" s="53"/>
      <c r="L2024" s="53"/>
      <c r="M2024" s="53"/>
    </row>
    <row r="2025" spans="2:13">
      <c r="B2025" s="53"/>
      <c r="C2025" s="53"/>
      <c r="D2025" s="53"/>
      <c r="E2025" s="53"/>
      <c r="F2025" s="53"/>
      <c r="G2025" s="53"/>
      <c r="H2025" s="53"/>
      <c r="I2025" s="53"/>
      <c r="J2025" s="53"/>
      <c r="K2025" s="53"/>
      <c r="L2025" s="53"/>
      <c r="M2025" s="53"/>
    </row>
    <row r="2026" spans="2:13">
      <c r="B2026" s="53"/>
      <c r="C2026" s="53"/>
      <c r="D2026" s="53"/>
      <c r="E2026" s="53"/>
      <c r="F2026" s="53"/>
      <c r="G2026" s="53"/>
      <c r="H2026" s="53"/>
      <c r="I2026" s="53"/>
      <c r="J2026" s="53"/>
      <c r="K2026" s="53"/>
      <c r="L2026" s="53"/>
      <c r="M2026" s="53"/>
    </row>
    <row r="2027" spans="2:13">
      <c r="B2027" s="53"/>
      <c r="C2027" s="53"/>
      <c r="D2027" s="53"/>
      <c r="E2027" s="53"/>
      <c r="F2027" s="53"/>
      <c r="G2027" s="53"/>
      <c r="H2027" s="53"/>
      <c r="I2027" s="53"/>
      <c r="J2027" s="53"/>
      <c r="K2027" s="53"/>
      <c r="L2027" s="53"/>
      <c r="M2027" s="53"/>
    </row>
    <row r="2028" spans="2:13">
      <c r="B2028" s="53"/>
      <c r="C2028" s="53"/>
      <c r="D2028" s="53"/>
      <c r="E2028" s="53"/>
      <c r="F2028" s="53"/>
      <c r="G2028" s="53"/>
      <c r="H2028" s="53"/>
      <c r="I2028" s="53"/>
      <c r="J2028" s="53"/>
      <c r="K2028" s="53"/>
      <c r="L2028" s="53"/>
      <c r="M2028" s="53"/>
    </row>
    <row r="2029" spans="2:13">
      <c r="B2029" s="53"/>
      <c r="C2029" s="53"/>
      <c r="D2029" s="53"/>
      <c r="E2029" s="53"/>
      <c r="F2029" s="53"/>
      <c r="G2029" s="53"/>
      <c r="H2029" s="53"/>
      <c r="I2029" s="53"/>
      <c r="J2029" s="53"/>
      <c r="K2029" s="53"/>
      <c r="L2029" s="53"/>
      <c r="M2029" s="53"/>
    </row>
    <row r="2030" spans="2:13">
      <c r="B2030" s="53"/>
      <c r="C2030" s="53"/>
      <c r="D2030" s="53"/>
      <c r="E2030" s="53"/>
      <c r="F2030" s="53"/>
      <c r="G2030" s="53"/>
      <c r="H2030" s="53"/>
      <c r="I2030" s="53"/>
      <c r="J2030" s="53"/>
      <c r="K2030" s="53"/>
      <c r="L2030" s="53"/>
      <c r="M2030" s="53"/>
    </row>
    <row r="2031" spans="2:13">
      <c r="B2031" s="53"/>
      <c r="C2031" s="53"/>
      <c r="D2031" s="53"/>
      <c r="E2031" s="53"/>
      <c r="F2031" s="53"/>
      <c r="G2031" s="53"/>
      <c r="H2031" s="53"/>
      <c r="I2031" s="53"/>
      <c r="J2031" s="53"/>
      <c r="K2031" s="53"/>
      <c r="L2031" s="53"/>
      <c r="M2031" s="53"/>
    </row>
    <row r="2032" spans="2:13">
      <c r="B2032" s="53"/>
      <c r="C2032" s="53"/>
      <c r="D2032" s="53"/>
      <c r="E2032" s="53"/>
      <c r="F2032" s="53"/>
      <c r="G2032" s="53"/>
      <c r="H2032" s="53"/>
      <c r="I2032" s="53"/>
      <c r="J2032" s="53"/>
      <c r="K2032" s="53"/>
      <c r="L2032" s="53"/>
      <c r="M2032" s="53"/>
    </row>
    <row r="2033" spans="2:13">
      <c r="B2033" s="53"/>
      <c r="C2033" s="53"/>
      <c r="D2033" s="53"/>
      <c r="E2033" s="53"/>
      <c r="F2033" s="53"/>
      <c r="G2033" s="53"/>
      <c r="H2033" s="53"/>
      <c r="I2033" s="53"/>
      <c r="J2033" s="53"/>
      <c r="K2033" s="53"/>
      <c r="L2033" s="53"/>
      <c r="M2033" s="53"/>
    </row>
    <row r="2034" spans="2:13">
      <c r="B2034" s="53"/>
      <c r="C2034" s="53"/>
      <c r="D2034" s="53"/>
      <c r="E2034" s="53"/>
      <c r="F2034" s="53"/>
      <c r="G2034" s="53"/>
      <c r="H2034" s="53"/>
      <c r="I2034" s="53"/>
      <c r="J2034" s="53"/>
      <c r="K2034" s="53"/>
      <c r="L2034" s="53"/>
      <c r="M2034" s="53"/>
    </row>
    <row r="2035" spans="2:13">
      <c r="B2035" s="53"/>
      <c r="C2035" s="53"/>
      <c r="D2035" s="53"/>
      <c r="E2035" s="53"/>
      <c r="F2035" s="53"/>
      <c r="G2035" s="53"/>
      <c r="H2035" s="53"/>
      <c r="I2035" s="53"/>
      <c r="J2035" s="53"/>
      <c r="K2035" s="53"/>
      <c r="L2035" s="53"/>
      <c r="M2035" s="53"/>
    </row>
    <row r="2036" spans="2:13">
      <c r="B2036" s="53"/>
      <c r="C2036" s="53"/>
      <c r="D2036" s="53"/>
      <c r="E2036" s="53"/>
      <c r="F2036" s="53"/>
      <c r="G2036" s="53"/>
      <c r="H2036" s="53"/>
      <c r="I2036" s="53"/>
      <c r="J2036" s="53"/>
      <c r="K2036" s="53"/>
      <c r="L2036" s="53"/>
      <c r="M2036" s="53"/>
    </row>
    <row r="2037" spans="2:13">
      <c r="B2037" s="53"/>
      <c r="C2037" s="53"/>
      <c r="D2037" s="53"/>
      <c r="E2037" s="53"/>
      <c r="F2037" s="53"/>
      <c r="G2037" s="53"/>
      <c r="H2037" s="53"/>
      <c r="I2037" s="53"/>
      <c r="J2037" s="53"/>
      <c r="K2037" s="53"/>
      <c r="L2037" s="53"/>
      <c r="M2037" s="53"/>
    </row>
    <row r="2038" spans="2:13">
      <c r="B2038" s="53"/>
      <c r="C2038" s="53"/>
      <c r="D2038" s="53"/>
      <c r="E2038" s="53"/>
      <c r="F2038" s="53"/>
      <c r="G2038" s="53"/>
      <c r="H2038" s="53"/>
      <c r="I2038" s="53"/>
      <c r="J2038" s="53"/>
      <c r="K2038" s="53"/>
      <c r="L2038" s="53"/>
      <c r="M2038" s="53"/>
    </row>
    <row r="2039" spans="2:13">
      <c r="B2039" s="53"/>
      <c r="C2039" s="53"/>
      <c r="D2039" s="53"/>
      <c r="E2039" s="53"/>
      <c r="F2039" s="53"/>
      <c r="G2039" s="53"/>
      <c r="H2039" s="53"/>
      <c r="I2039" s="53"/>
      <c r="J2039" s="53"/>
      <c r="K2039" s="53"/>
      <c r="L2039" s="53"/>
      <c r="M2039" s="53"/>
    </row>
    <row r="2040" spans="2:13">
      <c r="B2040" s="53"/>
      <c r="C2040" s="53"/>
      <c r="D2040" s="53"/>
      <c r="E2040" s="53"/>
      <c r="F2040" s="53"/>
      <c r="G2040" s="53"/>
      <c r="H2040" s="53"/>
      <c r="I2040" s="53"/>
      <c r="J2040" s="53"/>
      <c r="K2040" s="53"/>
      <c r="L2040" s="53"/>
      <c r="M2040" s="53"/>
    </row>
    <row r="2041" spans="2:13">
      <c r="B2041" s="53"/>
      <c r="C2041" s="53"/>
      <c r="D2041" s="53"/>
      <c r="E2041" s="53"/>
      <c r="F2041" s="53"/>
      <c r="G2041" s="53"/>
      <c r="H2041" s="53"/>
      <c r="I2041" s="53"/>
      <c r="J2041" s="53"/>
      <c r="K2041" s="53"/>
      <c r="L2041" s="53"/>
      <c r="M2041" s="53"/>
    </row>
    <row r="2042" spans="2:13">
      <c r="B2042" s="53"/>
      <c r="C2042" s="53"/>
      <c r="D2042" s="53"/>
      <c r="E2042" s="53"/>
      <c r="F2042" s="53"/>
      <c r="G2042" s="53"/>
      <c r="H2042" s="53"/>
      <c r="I2042" s="53"/>
      <c r="J2042" s="53"/>
      <c r="K2042" s="53"/>
      <c r="L2042" s="53"/>
      <c r="M2042" s="53"/>
    </row>
    <row r="2043" spans="2:13">
      <c r="B2043" s="53"/>
      <c r="C2043" s="53"/>
      <c r="D2043" s="53"/>
      <c r="E2043" s="53"/>
      <c r="F2043" s="53"/>
      <c r="G2043" s="53"/>
      <c r="H2043" s="53"/>
      <c r="I2043" s="53"/>
      <c r="J2043" s="53"/>
      <c r="K2043" s="53"/>
      <c r="L2043" s="53"/>
      <c r="M2043" s="53"/>
    </row>
    <row r="2044" spans="2:13">
      <c r="B2044" s="53"/>
      <c r="C2044" s="53"/>
      <c r="D2044" s="53"/>
      <c r="E2044" s="53"/>
      <c r="F2044" s="53"/>
      <c r="G2044" s="53"/>
      <c r="H2044" s="53"/>
      <c r="I2044" s="53"/>
      <c r="J2044" s="53"/>
      <c r="K2044" s="53"/>
      <c r="L2044" s="53"/>
      <c r="M2044" s="53"/>
    </row>
    <row r="2045" spans="2:13">
      <c r="B2045" s="53"/>
      <c r="C2045" s="53"/>
      <c r="D2045" s="53"/>
      <c r="E2045" s="53"/>
      <c r="F2045" s="53"/>
      <c r="G2045" s="53"/>
      <c r="H2045" s="53"/>
      <c r="I2045" s="53"/>
      <c r="J2045" s="53"/>
      <c r="K2045" s="53"/>
      <c r="L2045" s="53"/>
      <c r="M2045" s="53"/>
    </row>
    <row r="2046" spans="2:13">
      <c r="B2046" s="53"/>
      <c r="C2046" s="53"/>
      <c r="D2046" s="53"/>
      <c r="E2046" s="53"/>
      <c r="F2046" s="53"/>
      <c r="G2046" s="53"/>
      <c r="H2046" s="53"/>
      <c r="I2046" s="53"/>
      <c r="J2046" s="53"/>
      <c r="K2046" s="53"/>
      <c r="L2046" s="53"/>
      <c r="M2046" s="53"/>
    </row>
    <row r="2047" spans="2:13">
      <c r="B2047" s="53"/>
      <c r="C2047" s="53"/>
      <c r="D2047" s="53"/>
      <c r="E2047" s="53"/>
      <c r="F2047" s="53"/>
      <c r="G2047" s="53"/>
      <c r="H2047" s="53"/>
      <c r="I2047" s="53"/>
      <c r="J2047" s="53"/>
      <c r="K2047" s="53"/>
      <c r="L2047" s="53"/>
      <c r="M2047" s="53"/>
    </row>
    <row r="2048" spans="2:13">
      <c r="B2048" s="53"/>
      <c r="C2048" s="53"/>
      <c r="D2048" s="53"/>
      <c r="E2048" s="53"/>
      <c r="F2048" s="53"/>
      <c r="G2048" s="53"/>
      <c r="H2048" s="53"/>
      <c r="I2048" s="53"/>
      <c r="J2048" s="53"/>
      <c r="K2048" s="53"/>
      <c r="L2048" s="53"/>
      <c r="M2048" s="53"/>
    </row>
    <row r="2049" spans="2:13">
      <c r="B2049" s="53"/>
      <c r="C2049" s="53"/>
      <c r="D2049" s="53"/>
      <c r="E2049" s="53"/>
      <c r="F2049" s="53"/>
      <c r="G2049" s="53"/>
      <c r="H2049" s="53"/>
      <c r="I2049" s="53"/>
      <c r="J2049" s="53"/>
      <c r="K2049" s="53"/>
      <c r="L2049" s="53"/>
      <c r="M2049" s="53"/>
    </row>
    <row r="2050" spans="2:13">
      <c r="B2050" s="53"/>
      <c r="C2050" s="53"/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</row>
    <row r="2051" spans="2:13">
      <c r="B2051" s="53"/>
      <c r="C2051" s="53"/>
      <c r="D2051" s="53"/>
      <c r="E2051" s="53"/>
      <c r="F2051" s="53"/>
      <c r="G2051" s="53"/>
      <c r="H2051" s="53"/>
      <c r="I2051" s="53"/>
      <c r="J2051" s="53"/>
      <c r="K2051" s="53"/>
      <c r="L2051" s="53"/>
      <c r="M2051" s="53"/>
    </row>
    <row r="2052" spans="2:13">
      <c r="B2052" s="53"/>
      <c r="C2052" s="53"/>
      <c r="D2052" s="53"/>
      <c r="E2052" s="53"/>
      <c r="F2052" s="53"/>
      <c r="G2052" s="53"/>
      <c r="H2052" s="53"/>
      <c r="I2052" s="53"/>
      <c r="J2052" s="53"/>
      <c r="K2052" s="53"/>
      <c r="L2052" s="53"/>
      <c r="M2052" s="53"/>
    </row>
    <row r="2053" spans="2:13">
      <c r="B2053" s="53"/>
      <c r="C2053" s="53"/>
      <c r="D2053" s="53"/>
      <c r="E2053" s="53"/>
      <c r="F2053" s="53"/>
      <c r="G2053" s="53"/>
      <c r="H2053" s="53"/>
      <c r="I2053" s="53"/>
      <c r="J2053" s="53"/>
      <c r="K2053" s="53"/>
      <c r="L2053" s="53"/>
      <c r="M2053" s="53"/>
    </row>
    <row r="2054" spans="2:13">
      <c r="B2054" s="53"/>
      <c r="C2054" s="53"/>
      <c r="D2054" s="53"/>
      <c r="E2054" s="53"/>
      <c r="F2054" s="53"/>
      <c r="G2054" s="53"/>
      <c r="H2054" s="53"/>
      <c r="I2054" s="53"/>
      <c r="J2054" s="53"/>
      <c r="K2054" s="53"/>
      <c r="L2054" s="53"/>
      <c r="M2054" s="53"/>
    </row>
    <row r="2055" spans="2:13"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</row>
    <row r="2056" spans="2:13">
      <c r="B2056" s="53"/>
      <c r="C2056" s="53"/>
      <c r="D2056" s="53"/>
      <c r="E2056" s="53"/>
      <c r="F2056" s="53"/>
      <c r="G2056" s="53"/>
      <c r="H2056" s="53"/>
      <c r="I2056" s="53"/>
      <c r="J2056" s="53"/>
      <c r="K2056" s="53"/>
      <c r="L2056" s="53"/>
      <c r="M2056" s="53"/>
    </row>
    <row r="2057" spans="2:13">
      <c r="B2057" s="53"/>
      <c r="C2057" s="53"/>
      <c r="D2057" s="53"/>
      <c r="E2057" s="53"/>
      <c r="F2057" s="53"/>
      <c r="G2057" s="53"/>
      <c r="H2057" s="53"/>
      <c r="I2057" s="53"/>
      <c r="J2057" s="53"/>
      <c r="K2057" s="53"/>
      <c r="L2057" s="53"/>
      <c r="M2057" s="53"/>
    </row>
    <row r="2058" spans="2:13">
      <c r="B2058" s="53"/>
      <c r="C2058" s="53"/>
      <c r="D2058" s="53"/>
      <c r="E2058" s="53"/>
      <c r="F2058" s="53"/>
      <c r="G2058" s="53"/>
      <c r="H2058" s="53"/>
      <c r="I2058" s="53"/>
      <c r="J2058" s="53"/>
      <c r="K2058" s="53"/>
      <c r="L2058" s="53"/>
      <c r="M2058" s="53"/>
    </row>
    <row r="2059" spans="2:13">
      <c r="B2059" s="53"/>
      <c r="C2059" s="53"/>
      <c r="D2059" s="53"/>
      <c r="E2059" s="53"/>
      <c r="F2059" s="53"/>
      <c r="G2059" s="53"/>
      <c r="H2059" s="53"/>
      <c r="I2059" s="53"/>
      <c r="J2059" s="53"/>
      <c r="K2059" s="53"/>
      <c r="L2059" s="53"/>
      <c r="M2059" s="53"/>
    </row>
    <row r="2060" spans="2:13">
      <c r="B2060" s="53"/>
      <c r="C2060" s="53"/>
      <c r="D2060" s="53"/>
      <c r="E2060" s="53"/>
      <c r="F2060" s="53"/>
      <c r="G2060" s="53"/>
      <c r="H2060" s="53"/>
      <c r="I2060" s="53"/>
      <c r="J2060" s="53"/>
      <c r="K2060" s="53"/>
      <c r="L2060" s="53"/>
      <c r="M2060" s="53"/>
    </row>
    <row r="2061" spans="2:13">
      <c r="B2061" s="53"/>
      <c r="C2061" s="53"/>
      <c r="D2061" s="53"/>
      <c r="E2061" s="53"/>
      <c r="F2061" s="53"/>
      <c r="G2061" s="53"/>
      <c r="H2061" s="53"/>
      <c r="I2061" s="53"/>
      <c r="J2061" s="53"/>
      <c r="K2061" s="53"/>
      <c r="L2061" s="53"/>
      <c r="M2061" s="53"/>
    </row>
    <row r="2062" spans="2:13">
      <c r="B2062" s="53"/>
      <c r="C2062" s="53"/>
      <c r="D2062" s="53"/>
      <c r="E2062" s="53"/>
      <c r="F2062" s="53"/>
      <c r="G2062" s="53"/>
      <c r="H2062" s="53"/>
      <c r="I2062" s="53"/>
      <c r="J2062" s="53"/>
      <c r="K2062" s="53"/>
      <c r="L2062" s="53"/>
      <c r="M2062" s="53"/>
    </row>
    <row r="2063" spans="2:13">
      <c r="B2063" s="53"/>
      <c r="C2063" s="53"/>
      <c r="D2063" s="53"/>
      <c r="E2063" s="53"/>
      <c r="F2063" s="53"/>
      <c r="G2063" s="53"/>
      <c r="H2063" s="53"/>
      <c r="I2063" s="53"/>
      <c r="J2063" s="53"/>
      <c r="K2063" s="53"/>
      <c r="L2063" s="53"/>
      <c r="M2063" s="53"/>
    </row>
    <row r="2064" spans="2:13">
      <c r="B2064" s="53"/>
      <c r="C2064" s="53"/>
      <c r="D2064" s="53"/>
      <c r="E2064" s="53"/>
      <c r="F2064" s="53"/>
      <c r="G2064" s="53"/>
      <c r="H2064" s="53"/>
      <c r="I2064" s="53"/>
      <c r="J2064" s="53"/>
      <c r="K2064" s="53"/>
      <c r="L2064" s="53"/>
      <c r="M2064" s="53"/>
    </row>
    <row r="2065" spans="2:13">
      <c r="B2065" s="53"/>
      <c r="C2065" s="53"/>
      <c r="D2065" s="53"/>
      <c r="E2065" s="53"/>
      <c r="F2065" s="53"/>
      <c r="G2065" s="53"/>
      <c r="H2065" s="53"/>
      <c r="I2065" s="53"/>
      <c r="J2065" s="53"/>
      <c r="K2065" s="53"/>
      <c r="L2065" s="53"/>
      <c r="M2065" s="53"/>
    </row>
    <row r="2066" spans="2:13">
      <c r="B2066" s="53"/>
      <c r="C2066" s="53"/>
      <c r="D2066" s="53"/>
      <c r="E2066" s="53"/>
      <c r="F2066" s="53"/>
      <c r="G2066" s="53"/>
      <c r="H2066" s="53"/>
      <c r="I2066" s="53"/>
      <c r="J2066" s="53"/>
      <c r="K2066" s="53"/>
      <c r="L2066" s="53"/>
      <c r="M2066" s="53"/>
    </row>
    <row r="2067" spans="2:13">
      <c r="B2067" s="53"/>
      <c r="C2067" s="53"/>
      <c r="D2067" s="53"/>
      <c r="E2067" s="53"/>
      <c r="F2067" s="53"/>
      <c r="G2067" s="53"/>
      <c r="H2067" s="53"/>
      <c r="I2067" s="53"/>
      <c r="J2067" s="53"/>
      <c r="K2067" s="53"/>
      <c r="L2067" s="53"/>
      <c r="M2067" s="53"/>
    </row>
    <row r="2068" spans="2:13">
      <c r="B2068" s="53"/>
      <c r="C2068" s="53"/>
      <c r="D2068" s="53"/>
      <c r="E2068" s="53"/>
      <c r="F2068" s="53"/>
      <c r="G2068" s="53"/>
      <c r="H2068" s="53"/>
      <c r="I2068" s="53"/>
      <c r="J2068" s="53"/>
      <c r="K2068" s="53"/>
      <c r="L2068" s="53"/>
      <c r="M2068" s="53"/>
    </row>
    <row r="2069" spans="2:13">
      <c r="B2069" s="53"/>
      <c r="C2069" s="53"/>
      <c r="D2069" s="53"/>
      <c r="E2069" s="53"/>
      <c r="F2069" s="53"/>
      <c r="G2069" s="53"/>
      <c r="H2069" s="53"/>
      <c r="I2069" s="53"/>
      <c r="J2069" s="53"/>
      <c r="K2069" s="53"/>
      <c r="L2069" s="53"/>
      <c r="M2069" s="53"/>
    </row>
    <row r="2070" spans="2:13">
      <c r="B2070" s="53"/>
      <c r="C2070" s="53"/>
      <c r="D2070" s="53"/>
      <c r="E2070" s="53"/>
      <c r="F2070" s="53"/>
      <c r="G2070" s="53"/>
      <c r="H2070" s="53"/>
      <c r="I2070" s="53"/>
      <c r="J2070" s="53"/>
      <c r="K2070" s="53"/>
      <c r="L2070" s="53"/>
      <c r="M2070" s="53"/>
    </row>
    <row r="2071" spans="2:13">
      <c r="B2071" s="53"/>
      <c r="C2071" s="53"/>
      <c r="D2071" s="53"/>
      <c r="E2071" s="53"/>
      <c r="F2071" s="53"/>
      <c r="G2071" s="53"/>
      <c r="H2071" s="53"/>
      <c r="I2071" s="53"/>
      <c r="J2071" s="53"/>
      <c r="K2071" s="53"/>
      <c r="L2071" s="53"/>
      <c r="M2071" s="53"/>
    </row>
    <row r="2072" spans="2:13">
      <c r="B2072" s="53"/>
      <c r="C2072" s="53"/>
      <c r="D2072" s="53"/>
      <c r="E2072" s="53"/>
      <c r="F2072" s="53"/>
      <c r="G2072" s="53"/>
      <c r="H2072" s="53"/>
      <c r="I2072" s="53"/>
      <c r="J2072" s="53"/>
      <c r="K2072" s="53"/>
      <c r="L2072" s="53"/>
      <c r="M2072" s="53"/>
    </row>
    <row r="2073" spans="2:13">
      <c r="B2073" s="53"/>
      <c r="C2073" s="53"/>
      <c r="D2073" s="53"/>
      <c r="E2073" s="53"/>
      <c r="F2073" s="53"/>
      <c r="G2073" s="53"/>
      <c r="H2073" s="53"/>
      <c r="I2073" s="53"/>
      <c r="J2073" s="53"/>
      <c r="K2073" s="53"/>
      <c r="L2073" s="53"/>
      <c r="M2073" s="53"/>
    </row>
    <row r="2074" spans="2:13">
      <c r="B2074" s="53"/>
      <c r="C2074" s="53"/>
      <c r="D2074" s="53"/>
      <c r="E2074" s="53"/>
      <c r="F2074" s="53"/>
      <c r="G2074" s="53"/>
      <c r="H2074" s="53"/>
      <c r="I2074" s="53"/>
      <c r="J2074" s="53"/>
      <c r="K2074" s="53"/>
      <c r="L2074" s="53"/>
      <c r="M2074" s="53"/>
    </row>
    <row r="2075" spans="2:13">
      <c r="B2075" s="53"/>
      <c r="C2075" s="53"/>
      <c r="D2075" s="53"/>
      <c r="E2075" s="53"/>
      <c r="F2075" s="53"/>
      <c r="G2075" s="53"/>
      <c r="H2075" s="53"/>
      <c r="I2075" s="53"/>
      <c r="J2075" s="53"/>
      <c r="K2075" s="53"/>
      <c r="L2075" s="53"/>
      <c r="M2075" s="53"/>
    </row>
    <row r="2076" spans="2:13">
      <c r="B2076" s="53"/>
      <c r="C2076" s="53"/>
      <c r="D2076" s="53"/>
      <c r="E2076" s="53"/>
      <c r="F2076" s="53"/>
      <c r="G2076" s="53"/>
      <c r="H2076" s="53"/>
      <c r="I2076" s="53"/>
      <c r="J2076" s="53"/>
      <c r="K2076" s="53"/>
      <c r="L2076" s="53"/>
      <c r="M2076" s="53"/>
    </row>
    <row r="2077" spans="2:13">
      <c r="B2077" s="53"/>
      <c r="C2077" s="53"/>
      <c r="D2077" s="53"/>
      <c r="E2077" s="53"/>
      <c r="F2077" s="53"/>
      <c r="G2077" s="53"/>
      <c r="H2077" s="53"/>
      <c r="I2077" s="53"/>
      <c r="J2077" s="53"/>
      <c r="K2077" s="53"/>
      <c r="L2077" s="53"/>
      <c r="M2077" s="53"/>
    </row>
    <row r="2078" spans="2:13">
      <c r="B2078" s="53"/>
      <c r="C2078" s="53"/>
      <c r="D2078" s="53"/>
      <c r="E2078" s="53"/>
      <c r="F2078" s="53"/>
      <c r="G2078" s="53"/>
      <c r="H2078" s="53"/>
      <c r="I2078" s="53"/>
      <c r="J2078" s="53"/>
      <c r="K2078" s="53"/>
      <c r="L2078" s="53"/>
      <c r="M2078" s="53"/>
    </row>
    <row r="2079" spans="2:13">
      <c r="B2079" s="53"/>
      <c r="C2079" s="53"/>
      <c r="D2079" s="53"/>
      <c r="E2079" s="53"/>
      <c r="F2079" s="53"/>
      <c r="G2079" s="53"/>
      <c r="H2079" s="53"/>
      <c r="I2079" s="53"/>
      <c r="J2079" s="53"/>
      <c r="K2079" s="53"/>
      <c r="L2079" s="53"/>
      <c r="M2079" s="53"/>
    </row>
    <row r="2080" spans="2:13">
      <c r="B2080" s="53"/>
      <c r="C2080" s="53"/>
      <c r="D2080" s="53"/>
      <c r="E2080" s="53"/>
      <c r="F2080" s="53"/>
      <c r="G2080" s="53"/>
      <c r="H2080" s="53"/>
      <c r="I2080" s="53"/>
      <c r="J2080" s="53"/>
      <c r="K2080" s="53"/>
      <c r="L2080" s="53"/>
      <c r="M2080" s="53"/>
    </row>
    <row r="2081" spans="2:13">
      <c r="B2081" s="53"/>
      <c r="C2081" s="53"/>
      <c r="D2081" s="53"/>
      <c r="E2081" s="53"/>
      <c r="F2081" s="53"/>
      <c r="G2081" s="53"/>
      <c r="H2081" s="53"/>
      <c r="I2081" s="53"/>
      <c r="J2081" s="53"/>
      <c r="K2081" s="53"/>
      <c r="L2081" s="53"/>
      <c r="M2081" s="53"/>
    </row>
    <row r="2082" spans="2:13">
      <c r="B2082" s="53"/>
      <c r="C2082" s="53"/>
      <c r="D2082" s="53"/>
      <c r="E2082" s="53"/>
      <c r="F2082" s="53"/>
      <c r="G2082" s="53"/>
      <c r="H2082" s="53"/>
      <c r="I2082" s="53"/>
      <c r="J2082" s="53"/>
      <c r="K2082" s="53"/>
      <c r="L2082" s="53"/>
      <c r="M2082" s="53"/>
    </row>
    <row r="2083" spans="2:13">
      <c r="B2083" s="53"/>
      <c r="C2083" s="53"/>
      <c r="D2083" s="53"/>
      <c r="E2083" s="53"/>
      <c r="F2083" s="53"/>
      <c r="G2083" s="53"/>
      <c r="H2083" s="53"/>
      <c r="I2083" s="53"/>
      <c r="J2083" s="53"/>
      <c r="K2083" s="53"/>
      <c r="L2083" s="53"/>
      <c r="M2083" s="53"/>
    </row>
    <row r="2084" spans="2:13">
      <c r="B2084" s="53"/>
      <c r="C2084" s="53"/>
      <c r="D2084" s="53"/>
      <c r="E2084" s="53"/>
      <c r="F2084" s="53"/>
      <c r="G2084" s="53"/>
      <c r="H2084" s="53"/>
      <c r="I2084" s="53"/>
      <c r="J2084" s="53"/>
      <c r="K2084" s="53"/>
      <c r="L2084" s="53"/>
      <c r="M2084" s="53"/>
    </row>
    <row r="2085" spans="2:13">
      <c r="B2085" s="53"/>
      <c r="C2085" s="53"/>
      <c r="D2085" s="53"/>
      <c r="E2085" s="53"/>
      <c r="F2085" s="53"/>
      <c r="G2085" s="53"/>
      <c r="H2085" s="53"/>
      <c r="I2085" s="53"/>
      <c r="J2085" s="53"/>
      <c r="K2085" s="53"/>
      <c r="L2085" s="53"/>
      <c r="M2085" s="53"/>
    </row>
    <row r="2086" spans="2:13">
      <c r="B2086" s="53"/>
      <c r="C2086" s="53"/>
      <c r="D2086" s="53"/>
      <c r="E2086" s="53"/>
      <c r="F2086" s="53"/>
      <c r="G2086" s="53"/>
      <c r="H2086" s="53"/>
      <c r="I2086" s="53"/>
      <c r="J2086" s="53"/>
      <c r="K2086" s="53"/>
      <c r="L2086" s="53"/>
      <c r="M2086" s="53"/>
    </row>
    <row r="2087" spans="2:13">
      <c r="B2087" s="53"/>
      <c r="C2087" s="53"/>
      <c r="D2087" s="53"/>
      <c r="E2087" s="53"/>
      <c r="F2087" s="53"/>
      <c r="G2087" s="53"/>
      <c r="H2087" s="53"/>
      <c r="I2087" s="53"/>
      <c r="J2087" s="53"/>
      <c r="K2087" s="53"/>
      <c r="L2087" s="53"/>
      <c r="M2087" s="53"/>
    </row>
    <row r="2088" spans="2:13">
      <c r="B2088" s="53"/>
      <c r="C2088" s="53"/>
      <c r="D2088" s="53"/>
      <c r="E2088" s="53"/>
      <c r="F2088" s="53"/>
      <c r="G2088" s="53"/>
      <c r="H2088" s="53"/>
      <c r="I2088" s="53"/>
      <c r="J2088" s="53"/>
      <c r="K2088" s="53"/>
      <c r="L2088" s="53"/>
      <c r="M2088" s="53"/>
    </row>
    <row r="2089" spans="2:13">
      <c r="B2089" s="53"/>
      <c r="C2089" s="53"/>
      <c r="D2089" s="53"/>
      <c r="E2089" s="53"/>
      <c r="F2089" s="53"/>
      <c r="G2089" s="53"/>
      <c r="H2089" s="53"/>
      <c r="I2089" s="53"/>
      <c r="J2089" s="53"/>
      <c r="K2089" s="53"/>
      <c r="L2089" s="53"/>
      <c r="M2089" s="53"/>
    </row>
    <row r="2090" spans="2:13">
      <c r="B2090" s="53"/>
      <c r="C2090" s="53"/>
      <c r="D2090" s="53"/>
      <c r="E2090" s="53"/>
      <c r="F2090" s="53"/>
      <c r="G2090" s="53"/>
      <c r="H2090" s="53"/>
      <c r="I2090" s="53"/>
      <c r="J2090" s="53"/>
      <c r="K2090" s="53"/>
      <c r="L2090" s="53"/>
      <c r="M2090" s="53"/>
    </row>
    <row r="2091" spans="2:13">
      <c r="B2091" s="53"/>
      <c r="C2091" s="53"/>
      <c r="D2091" s="53"/>
      <c r="E2091" s="53"/>
      <c r="F2091" s="53"/>
      <c r="G2091" s="53"/>
      <c r="H2091" s="53"/>
      <c r="I2091" s="53"/>
      <c r="J2091" s="53"/>
      <c r="K2091" s="53"/>
      <c r="L2091" s="53"/>
      <c r="M2091" s="53"/>
    </row>
    <row r="2092" spans="2:13">
      <c r="B2092" s="53"/>
      <c r="C2092" s="53"/>
      <c r="D2092" s="53"/>
      <c r="E2092" s="53"/>
      <c r="F2092" s="53"/>
      <c r="G2092" s="53"/>
      <c r="H2092" s="53"/>
      <c r="I2092" s="53"/>
      <c r="J2092" s="53"/>
      <c r="K2092" s="53"/>
      <c r="L2092" s="53"/>
      <c r="M2092" s="53"/>
    </row>
    <row r="2093" spans="2:13">
      <c r="B2093" s="53"/>
      <c r="C2093" s="53"/>
      <c r="D2093" s="53"/>
      <c r="E2093" s="53"/>
      <c r="F2093" s="53"/>
      <c r="G2093" s="53"/>
      <c r="H2093" s="53"/>
      <c r="I2093" s="53"/>
      <c r="J2093" s="53"/>
      <c r="K2093" s="53"/>
      <c r="L2093" s="53"/>
      <c r="M2093" s="53"/>
    </row>
    <row r="2094" spans="2:13">
      <c r="B2094" s="53"/>
      <c r="C2094" s="53"/>
      <c r="D2094" s="53"/>
      <c r="E2094" s="53"/>
      <c r="F2094" s="53"/>
      <c r="G2094" s="53"/>
      <c r="H2094" s="53"/>
      <c r="I2094" s="53"/>
      <c r="J2094" s="53"/>
      <c r="K2094" s="53"/>
      <c r="L2094" s="53"/>
      <c r="M2094" s="53"/>
    </row>
    <row r="2095" spans="2:13">
      <c r="B2095" s="53"/>
      <c r="C2095" s="53"/>
      <c r="D2095" s="53"/>
      <c r="E2095" s="53"/>
      <c r="F2095" s="53"/>
      <c r="G2095" s="53"/>
      <c r="H2095" s="53"/>
      <c r="I2095" s="53"/>
      <c r="J2095" s="53"/>
      <c r="K2095" s="53"/>
      <c r="L2095" s="53"/>
      <c r="M2095" s="53"/>
    </row>
    <row r="2096" spans="2:13">
      <c r="B2096" s="53"/>
      <c r="C2096" s="53"/>
      <c r="D2096" s="53"/>
      <c r="E2096" s="53"/>
      <c r="F2096" s="53"/>
      <c r="G2096" s="53"/>
      <c r="H2096" s="53"/>
      <c r="I2096" s="53"/>
      <c r="J2096" s="53"/>
      <c r="K2096" s="53"/>
      <c r="L2096" s="53"/>
      <c r="M2096" s="53"/>
    </row>
    <row r="2097" spans="2:13">
      <c r="B2097" s="53"/>
      <c r="C2097" s="53"/>
      <c r="D2097" s="53"/>
      <c r="E2097" s="53"/>
      <c r="F2097" s="53"/>
      <c r="G2097" s="53"/>
      <c r="H2097" s="53"/>
      <c r="I2097" s="53"/>
      <c r="J2097" s="53"/>
      <c r="K2097" s="53"/>
      <c r="L2097" s="53"/>
      <c r="M2097" s="53"/>
    </row>
  </sheetData>
  <mergeCells count="57">
    <mergeCell ref="D3:G3"/>
    <mergeCell ref="B9:J9"/>
    <mergeCell ref="B15:K15"/>
    <mergeCell ref="B22:H22"/>
    <mergeCell ref="B24:H24"/>
    <mergeCell ref="B45:J45"/>
    <mergeCell ref="B46:E46"/>
    <mergeCell ref="B51:L51"/>
    <mergeCell ref="B52:F52"/>
    <mergeCell ref="B57:E57"/>
    <mergeCell ref="H60:K60"/>
    <mergeCell ref="H63:K63"/>
    <mergeCell ref="B83:H83"/>
    <mergeCell ref="B84:H84"/>
    <mergeCell ref="B96:G96"/>
    <mergeCell ref="H102:M102"/>
    <mergeCell ref="B105:G105"/>
    <mergeCell ref="H114:Q114"/>
    <mergeCell ref="H123:M123"/>
    <mergeCell ref="B128:G128"/>
    <mergeCell ref="H131:M131"/>
    <mergeCell ref="H134:P134"/>
    <mergeCell ref="B139:G139"/>
    <mergeCell ref="B141:C141"/>
    <mergeCell ref="B152:C152"/>
    <mergeCell ref="B163:G163"/>
    <mergeCell ref="B171:G171"/>
    <mergeCell ref="B173:D173"/>
    <mergeCell ref="B191:C191"/>
    <mergeCell ref="B200:H200"/>
    <mergeCell ref="B202:G202"/>
    <mergeCell ref="C207:F207"/>
    <mergeCell ref="C208:F208"/>
    <mergeCell ref="C209:D209"/>
    <mergeCell ref="C210:E210"/>
    <mergeCell ref="C211:J211"/>
    <mergeCell ref="C212:E212"/>
    <mergeCell ref="C213:H213"/>
    <mergeCell ref="C214:E214"/>
    <mergeCell ref="B218:I218"/>
    <mergeCell ref="B225:G225"/>
    <mergeCell ref="B231:C231"/>
    <mergeCell ref="B237:D237"/>
    <mergeCell ref="B243:E243"/>
    <mergeCell ref="B249:D249"/>
    <mergeCell ref="B256:G256"/>
    <mergeCell ref="B309:I309"/>
    <mergeCell ref="B312:G312"/>
    <mergeCell ref="G26:G27"/>
    <mergeCell ref="G29:G30"/>
    <mergeCell ref="G32:G33"/>
    <mergeCell ref="G35:G36"/>
    <mergeCell ref="G38:G39"/>
    <mergeCell ref="G41:G42"/>
    <mergeCell ref="H245:I246"/>
    <mergeCell ref="H227:I228"/>
    <mergeCell ref="H239:I240"/>
  </mergeCells>
  <pageMargins left="0.56" right="0.75" top="0.78" bottom="1" header="0.5" footer="0.5"/>
  <pageSetup paperSize="9" scale="85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7"/>
  <sheetViews>
    <sheetView workbookViewId="0">
      <selection activeCell="E2" sqref="E2"/>
    </sheetView>
  </sheetViews>
  <sheetFormatPr defaultColWidth="9" defaultRowHeight="12.75"/>
  <cols>
    <col min="1" max="1" width="9.14444444444444" style="53"/>
    <col min="2" max="2" width="5.42222222222222" style="53" customWidth="1"/>
    <col min="3" max="3" width="7.28888888888889" style="53" customWidth="1"/>
    <col min="4" max="4" width="7.42222222222222" style="53" customWidth="1"/>
    <col min="5" max="5" width="7.56666666666667" style="53" customWidth="1"/>
    <col min="6" max="6" width="8.85555555555556" style="53" customWidth="1"/>
    <col min="7" max="7" width="8.14444444444444" style="53" customWidth="1"/>
    <col min="8" max="9" width="8.28888888888889" style="53" customWidth="1"/>
    <col min="10" max="10" width="18.5666666666667" style="53" customWidth="1"/>
    <col min="11" max="14" width="9.14444444444444" style="53"/>
    <col min="15" max="15" width="10.5666666666667" style="53" customWidth="1"/>
    <col min="16" max="16384" width="9.14444444444444" style="53"/>
  </cols>
  <sheetData>
    <row r="1" ht="43.5" customHeight="1" spans="1:19">
      <c r="A1" s="54" t="s">
        <v>704</v>
      </c>
      <c r="B1" s="54" t="s">
        <v>705</v>
      </c>
      <c r="C1" s="54" t="s">
        <v>706</v>
      </c>
      <c r="D1" s="54" t="s">
        <v>707</v>
      </c>
      <c r="E1" s="54" t="s">
        <v>708</v>
      </c>
      <c r="F1" s="54">
        <v>220</v>
      </c>
      <c r="G1" s="54">
        <v>270</v>
      </c>
      <c r="H1" s="54">
        <v>360</v>
      </c>
      <c r="I1" s="54">
        <v>420</v>
      </c>
      <c r="J1" s="55" t="s">
        <v>709</v>
      </c>
      <c r="K1" s="56"/>
      <c r="L1" s="56"/>
      <c r="M1" s="57"/>
      <c r="N1" s="57"/>
      <c r="O1" s="57"/>
      <c r="P1" s="57"/>
      <c r="Q1" s="57"/>
      <c r="R1" s="57"/>
      <c r="S1" s="57"/>
    </row>
    <row r="2" ht="15.75" customHeight="1" spans="1:19">
      <c r="A2" s="54">
        <v>578</v>
      </c>
      <c r="B2" s="54">
        <v>1</v>
      </c>
      <c r="C2" s="54">
        <v>110</v>
      </c>
      <c r="D2" s="54">
        <v>9.5</v>
      </c>
      <c r="E2" s="54">
        <v>88.4</v>
      </c>
      <c r="F2" s="61">
        <v>32</v>
      </c>
      <c r="G2" s="61">
        <v>82</v>
      </c>
      <c r="H2" s="61">
        <v>172</v>
      </c>
      <c r="I2" s="61">
        <v>232</v>
      </c>
      <c r="J2" s="62">
        <v>100</v>
      </c>
      <c r="K2" s="78" t="s">
        <v>710</v>
      </c>
      <c r="L2" s="79"/>
      <c r="M2" s="79"/>
      <c r="N2" s="79"/>
      <c r="O2" s="80"/>
      <c r="P2" s="64"/>
      <c r="Q2" s="64"/>
      <c r="R2" s="64"/>
      <c r="S2" s="64"/>
    </row>
    <row r="3" ht="15.75" spans="1:19">
      <c r="A3" s="54">
        <v>584</v>
      </c>
      <c r="B3" s="54">
        <v>2</v>
      </c>
      <c r="C3" s="54">
        <v>130</v>
      </c>
      <c r="D3" s="54">
        <v>7.5</v>
      </c>
      <c r="E3" s="54">
        <v>88.2</v>
      </c>
      <c r="F3" s="61">
        <v>26</v>
      </c>
      <c r="G3" s="61">
        <v>76</v>
      </c>
      <c r="H3" s="61">
        <v>166</v>
      </c>
      <c r="I3" s="61">
        <v>226</v>
      </c>
      <c r="J3" s="62">
        <v>100</v>
      </c>
      <c r="K3" s="65"/>
      <c r="L3" s="57"/>
      <c r="M3" s="57"/>
      <c r="N3" s="57"/>
      <c r="O3" s="57"/>
      <c r="P3" s="57"/>
      <c r="Q3" s="57"/>
      <c r="R3" s="57"/>
      <c r="S3" s="57"/>
    </row>
    <row r="4" ht="15.75" spans="1:19">
      <c r="A4" s="54">
        <v>591</v>
      </c>
      <c r="B4" s="54">
        <v>3</v>
      </c>
      <c r="C4" s="54">
        <v>210</v>
      </c>
      <c r="D4" s="54">
        <v>5</v>
      </c>
      <c r="E4" s="54">
        <v>93.4</v>
      </c>
      <c r="F4" s="61">
        <v>19</v>
      </c>
      <c r="G4" s="61">
        <v>69</v>
      </c>
      <c r="H4" s="61">
        <v>159</v>
      </c>
      <c r="I4" s="61">
        <v>219</v>
      </c>
      <c r="J4" s="62">
        <v>100</v>
      </c>
      <c r="K4" s="65"/>
      <c r="L4" s="57"/>
      <c r="M4" s="57"/>
      <c r="N4" s="57"/>
      <c r="O4" s="57"/>
      <c r="P4" s="57"/>
      <c r="Q4" s="57"/>
      <c r="R4" s="57"/>
      <c r="S4" s="57"/>
    </row>
    <row r="5" ht="15.75" spans="1:19">
      <c r="A5" s="54">
        <v>595</v>
      </c>
      <c r="B5" s="54">
        <v>4</v>
      </c>
      <c r="C5" s="54">
        <v>390</v>
      </c>
      <c r="D5" s="54">
        <v>2.5</v>
      </c>
      <c r="E5" s="54">
        <v>93.8</v>
      </c>
      <c r="F5" s="61">
        <v>15</v>
      </c>
      <c r="G5" s="61">
        <v>65</v>
      </c>
      <c r="H5" s="61">
        <v>155</v>
      </c>
      <c r="I5" s="61">
        <v>215</v>
      </c>
      <c r="J5" s="62">
        <v>100</v>
      </c>
      <c r="K5" s="65"/>
      <c r="L5" s="57"/>
      <c r="M5" s="57"/>
      <c r="N5" s="57"/>
      <c r="O5" s="57"/>
      <c r="P5" s="57"/>
      <c r="Q5" s="57"/>
      <c r="R5" s="57"/>
      <c r="S5" s="57"/>
    </row>
    <row r="6" ht="15.75" spans="1:19">
      <c r="A6" s="54">
        <v>599</v>
      </c>
      <c r="B6" s="54">
        <v>5</v>
      </c>
      <c r="C6" s="54">
        <v>730</v>
      </c>
      <c r="D6" s="54">
        <v>0.5</v>
      </c>
      <c r="E6" s="54">
        <v>92.8</v>
      </c>
      <c r="F6" s="61">
        <v>11</v>
      </c>
      <c r="G6" s="61">
        <v>61</v>
      </c>
      <c r="H6" s="61">
        <v>151</v>
      </c>
      <c r="I6" s="61">
        <v>211</v>
      </c>
      <c r="J6" s="62">
        <v>100</v>
      </c>
      <c r="K6" s="65"/>
      <c r="L6" s="57"/>
      <c r="M6" s="57"/>
      <c r="N6" s="57"/>
      <c r="O6" s="57"/>
      <c r="P6" s="57"/>
      <c r="Q6" s="57"/>
      <c r="R6" s="57"/>
      <c r="S6" s="57"/>
    </row>
    <row r="7" ht="15.75" spans="1:19">
      <c r="A7" s="54">
        <v>599</v>
      </c>
      <c r="B7" s="54">
        <v>6</v>
      </c>
      <c r="C7" s="54" t="s">
        <v>711</v>
      </c>
      <c r="D7" s="54">
        <v>0</v>
      </c>
      <c r="E7" s="54">
        <v>94.3</v>
      </c>
      <c r="F7" s="61">
        <v>11</v>
      </c>
      <c r="G7" s="61">
        <v>61</v>
      </c>
      <c r="H7" s="61">
        <v>151</v>
      </c>
      <c r="I7" s="61">
        <v>211</v>
      </c>
      <c r="J7" s="62">
        <v>100</v>
      </c>
      <c r="K7" s="65"/>
      <c r="L7" s="57"/>
      <c r="M7" s="57"/>
      <c r="N7" s="57"/>
      <c r="O7" s="57"/>
      <c r="P7" s="57"/>
      <c r="Q7" s="57"/>
      <c r="R7" s="57"/>
      <c r="S7" s="57"/>
    </row>
    <row r="8" ht="15.75" customHeight="1" spans="1:19">
      <c r="A8" s="54">
        <v>523</v>
      </c>
      <c r="B8" s="54">
        <v>1</v>
      </c>
      <c r="C8" s="54">
        <v>110</v>
      </c>
      <c r="D8" s="54">
        <v>21.5</v>
      </c>
      <c r="E8" s="54">
        <v>128</v>
      </c>
      <c r="F8" s="61">
        <v>85</v>
      </c>
      <c r="G8" s="61">
        <v>135</v>
      </c>
      <c r="H8" s="61">
        <v>225</v>
      </c>
      <c r="I8" s="61">
        <v>285</v>
      </c>
      <c r="J8" s="62">
        <v>150</v>
      </c>
      <c r="K8" s="78" t="s">
        <v>712</v>
      </c>
      <c r="L8" s="79"/>
      <c r="M8" s="79"/>
      <c r="N8" s="79"/>
      <c r="O8" s="80"/>
      <c r="P8" s="64"/>
      <c r="Q8" s="64"/>
      <c r="R8" s="64"/>
      <c r="S8" s="64"/>
    </row>
    <row r="9" ht="15.75" spans="1:19">
      <c r="A9" s="54">
        <v>526</v>
      </c>
      <c r="B9" s="54">
        <v>2</v>
      </c>
      <c r="C9" s="54">
        <v>170</v>
      </c>
      <c r="D9" s="54">
        <v>14.5</v>
      </c>
      <c r="E9" s="54">
        <v>127.3</v>
      </c>
      <c r="F9" s="61">
        <v>82</v>
      </c>
      <c r="G9" s="61">
        <v>132</v>
      </c>
      <c r="H9" s="61">
        <v>222</v>
      </c>
      <c r="I9" s="61">
        <v>282</v>
      </c>
      <c r="J9" s="62">
        <v>150</v>
      </c>
      <c r="K9" s="65"/>
      <c r="L9" s="57"/>
      <c r="M9" s="57"/>
      <c r="N9" s="57"/>
      <c r="O9" s="57"/>
      <c r="P9" s="57"/>
      <c r="Q9" s="57"/>
      <c r="R9" s="57"/>
      <c r="S9" s="57"/>
    </row>
    <row r="10" ht="15.75" spans="1:19">
      <c r="A10" s="54">
        <v>550</v>
      </c>
      <c r="B10" s="54">
        <v>3</v>
      </c>
      <c r="C10" s="54">
        <v>350</v>
      </c>
      <c r="D10" s="54">
        <v>6.5</v>
      </c>
      <c r="E10" s="54">
        <v>122.3</v>
      </c>
      <c r="F10" s="61">
        <v>58</v>
      </c>
      <c r="G10" s="61">
        <v>108</v>
      </c>
      <c r="H10" s="61">
        <v>198</v>
      </c>
      <c r="I10" s="61">
        <v>258</v>
      </c>
      <c r="J10" s="62">
        <v>150</v>
      </c>
      <c r="K10" s="65"/>
      <c r="L10" s="57"/>
      <c r="M10" s="57"/>
      <c r="N10" s="57"/>
      <c r="O10" s="57"/>
      <c r="P10" s="57"/>
      <c r="Q10" s="57"/>
      <c r="R10" s="57"/>
      <c r="S10" s="57"/>
    </row>
    <row r="11" ht="15.75" spans="1:19">
      <c r="A11" s="54">
        <v>562</v>
      </c>
      <c r="B11" s="54">
        <v>4</v>
      </c>
      <c r="C11" s="54">
        <v>435</v>
      </c>
      <c r="D11" s="54">
        <v>4</v>
      </c>
      <c r="E11" s="54">
        <v>128.5</v>
      </c>
      <c r="F11" s="61">
        <v>46</v>
      </c>
      <c r="G11" s="61">
        <v>96</v>
      </c>
      <c r="H11" s="61">
        <v>186</v>
      </c>
      <c r="I11" s="61">
        <v>246</v>
      </c>
      <c r="J11" s="62">
        <v>150</v>
      </c>
      <c r="K11" s="65"/>
      <c r="L11" s="57"/>
      <c r="M11" s="57"/>
      <c r="N11" s="57"/>
      <c r="O11" s="57"/>
      <c r="P11" s="57"/>
      <c r="Q11" s="57"/>
      <c r="R11" s="57"/>
      <c r="S11" s="57"/>
    </row>
    <row r="12" ht="15.75" spans="1:19">
      <c r="A12" s="54">
        <v>568</v>
      </c>
      <c r="B12" s="54">
        <v>5</v>
      </c>
      <c r="C12" s="54">
        <v>1500</v>
      </c>
      <c r="D12" s="54">
        <v>1.5</v>
      </c>
      <c r="E12" s="54">
        <v>132.8</v>
      </c>
      <c r="F12" s="61">
        <v>40</v>
      </c>
      <c r="G12" s="61">
        <v>90</v>
      </c>
      <c r="H12" s="61">
        <v>180</v>
      </c>
      <c r="I12" s="61">
        <v>240</v>
      </c>
      <c r="J12" s="62">
        <v>150</v>
      </c>
      <c r="K12" s="65"/>
      <c r="L12" s="57"/>
      <c r="M12" s="57"/>
      <c r="N12" s="57"/>
      <c r="O12" s="57"/>
      <c r="P12" s="57"/>
      <c r="Q12" s="57"/>
      <c r="R12" s="57"/>
      <c r="S12" s="57"/>
    </row>
    <row r="13" ht="15.75" spans="1:19">
      <c r="A13" s="54">
        <v>570</v>
      </c>
      <c r="B13" s="54">
        <v>6</v>
      </c>
      <c r="C13" s="54" t="s">
        <v>711</v>
      </c>
      <c r="D13" s="54">
        <v>0</v>
      </c>
      <c r="E13" s="54">
        <v>134.2</v>
      </c>
      <c r="F13" s="61">
        <v>40</v>
      </c>
      <c r="G13" s="61">
        <v>90</v>
      </c>
      <c r="H13" s="61">
        <v>180</v>
      </c>
      <c r="I13" s="61">
        <v>240</v>
      </c>
      <c r="J13" s="62">
        <v>150</v>
      </c>
      <c r="K13" s="65"/>
      <c r="L13" s="57"/>
      <c r="M13" s="57"/>
      <c r="N13" s="57"/>
      <c r="O13" s="57"/>
      <c r="P13" s="57"/>
      <c r="Q13" s="57"/>
      <c r="R13" s="57"/>
      <c r="S13" s="57"/>
    </row>
    <row r="14" ht="15.75" customHeight="1" spans="1:19">
      <c r="A14" s="54">
        <v>475</v>
      </c>
      <c r="B14" s="54">
        <v>1</v>
      </c>
      <c r="C14" s="54">
        <v>140</v>
      </c>
      <c r="D14" s="54">
        <v>28.5</v>
      </c>
      <c r="E14" s="54">
        <v>174</v>
      </c>
      <c r="F14" s="61">
        <v>135</v>
      </c>
      <c r="G14" s="61">
        <v>185</v>
      </c>
      <c r="H14" s="61">
        <v>275</v>
      </c>
      <c r="I14" s="61">
        <v>335</v>
      </c>
      <c r="J14" s="62">
        <v>200</v>
      </c>
      <c r="K14" s="78" t="s">
        <v>713</v>
      </c>
      <c r="L14" s="79"/>
      <c r="M14" s="79"/>
      <c r="N14" s="79"/>
      <c r="O14" s="80"/>
      <c r="P14" s="64"/>
      <c r="Q14" s="64"/>
      <c r="R14" s="64"/>
      <c r="S14" s="64"/>
    </row>
    <row r="15" ht="15.75" spans="1:19">
      <c r="A15" s="54">
        <v>484</v>
      </c>
      <c r="B15" s="54">
        <v>2</v>
      </c>
      <c r="C15" s="54">
        <v>192</v>
      </c>
      <c r="D15" s="54">
        <v>22</v>
      </c>
      <c r="E15" s="54">
        <v>180</v>
      </c>
      <c r="F15" s="61">
        <v>126</v>
      </c>
      <c r="G15" s="61">
        <v>176</v>
      </c>
      <c r="H15" s="61">
        <v>266</v>
      </c>
      <c r="I15" s="61">
        <v>326</v>
      </c>
      <c r="J15" s="62">
        <v>200</v>
      </c>
      <c r="K15" s="66"/>
      <c r="L15" s="57"/>
      <c r="M15" s="57"/>
      <c r="N15" s="57"/>
      <c r="O15" s="57"/>
      <c r="P15" s="57"/>
      <c r="Q15" s="57"/>
      <c r="R15" s="57"/>
      <c r="S15" s="57"/>
    </row>
    <row r="16" ht="15.75" spans="1:19">
      <c r="A16" s="54">
        <v>495</v>
      </c>
      <c r="B16" s="54">
        <v>3</v>
      </c>
      <c r="C16" s="54">
        <v>285</v>
      </c>
      <c r="D16" s="54">
        <v>14.5</v>
      </c>
      <c r="E16" s="54">
        <v>184</v>
      </c>
      <c r="F16" s="61">
        <v>115</v>
      </c>
      <c r="G16" s="61">
        <v>165</v>
      </c>
      <c r="H16" s="61">
        <v>255</v>
      </c>
      <c r="I16" s="61">
        <v>315</v>
      </c>
      <c r="J16" s="62">
        <v>200</v>
      </c>
      <c r="K16" s="65"/>
      <c r="L16" s="57"/>
      <c r="M16" s="57"/>
      <c r="N16" s="57"/>
      <c r="O16" s="57"/>
      <c r="P16" s="57"/>
      <c r="Q16" s="57"/>
      <c r="R16" s="57"/>
      <c r="S16" s="57"/>
    </row>
    <row r="17" ht="15.75" spans="1:19">
      <c r="A17" s="54">
        <v>506</v>
      </c>
      <c r="B17" s="54">
        <v>4</v>
      </c>
      <c r="C17" s="54">
        <v>479</v>
      </c>
      <c r="D17" s="54">
        <v>9.5</v>
      </c>
      <c r="E17" s="54">
        <v>186</v>
      </c>
      <c r="F17" s="61">
        <v>104</v>
      </c>
      <c r="G17" s="61">
        <v>154</v>
      </c>
      <c r="H17" s="61">
        <v>244</v>
      </c>
      <c r="I17" s="61">
        <v>304</v>
      </c>
      <c r="J17" s="62">
        <v>200</v>
      </c>
      <c r="K17" s="65"/>
      <c r="L17" s="57"/>
      <c r="M17" s="57"/>
      <c r="N17" s="57"/>
      <c r="O17" s="57"/>
      <c r="P17" s="57"/>
      <c r="Q17" s="57"/>
      <c r="R17" s="57"/>
      <c r="S17" s="57"/>
    </row>
    <row r="18" ht="15.75" spans="1:19">
      <c r="A18" s="54">
        <v>512</v>
      </c>
      <c r="B18" s="54">
        <v>5</v>
      </c>
      <c r="C18" s="54">
        <v>1127</v>
      </c>
      <c r="D18" s="54">
        <v>3.5</v>
      </c>
      <c r="E18" s="54">
        <v>189</v>
      </c>
      <c r="F18" s="61">
        <v>98</v>
      </c>
      <c r="G18" s="61">
        <v>148</v>
      </c>
      <c r="H18" s="61">
        <v>238</v>
      </c>
      <c r="I18" s="61">
        <v>298</v>
      </c>
      <c r="J18" s="62">
        <v>200</v>
      </c>
      <c r="K18" s="65"/>
      <c r="L18" s="57"/>
      <c r="M18" s="57"/>
      <c r="N18" s="57"/>
      <c r="O18" s="57"/>
      <c r="P18" s="57"/>
      <c r="Q18" s="57"/>
      <c r="R18" s="57"/>
      <c r="S18" s="57"/>
    </row>
    <row r="19" ht="15.75" spans="1:19">
      <c r="A19" s="54">
        <v>518</v>
      </c>
      <c r="B19" s="54">
        <v>6</v>
      </c>
      <c r="C19" s="54" t="s">
        <v>711</v>
      </c>
      <c r="D19" s="54">
        <v>0</v>
      </c>
      <c r="E19" s="54">
        <v>190</v>
      </c>
      <c r="F19" s="61">
        <v>92</v>
      </c>
      <c r="G19" s="61">
        <v>142</v>
      </c>
      <c r="H19" s="61">
        <v>232</v>
      </c>
      <c r="I19" s="61">
        <v>292</v>
      </c>
      <c r="J19" s="62">
        <v>200</v>
      </c>
      <c r="K19" s="65"/>
      <c r="L19" s="57"/>
      <c r="M19" s="57"/>
      <c r="N19" s="57"/>
      <c r="O19" s="57"/>
      <c r="P19" s="57"/>
      <c r="Q19" s="57"/>
      <c r="R19" s="57"/>
      <c r="S19" s="57"/>
    </row>
    <row r="20" ht="15.75" customHeight="1" spans="1:19">
      <c r="A20" s="54">
        <v>529</v>
      </c>
      <c r="B20" s="54">
        <v>1</v>
      </c>
      <c r="C20" s="54">
        <v>300</v>
      </c>
      <c r="D20" s="54">
        <v>36</v>
      </c>
      <c r="E20" s="54">
        <v>300</v>
      </c>
      <c r="F20" s="61">
        <v>81</v>
      </c>
      <c r="G20" s="61">
        <v>131</v>
      </c>
      <c r="H20" s="61">
        <v>221</v>
      </c>
      <c r="I20" s="61">
        <v>281</v>
      </c>
      <c r="J20" s="62">
        <v>300</v>
      </c>
      <c r="K20" s="78" t="s">
        <v>714</v>
      </c>
      <c r="L20" s="79"/>
      <c r="M20" s="79"/>
      <c r="N20" s="79"/>
      <c r="O20" s="80"/>
      <c r="P20" s="64"/>
      <c r="Q20" s="64"/>
      <c r="R20" s="64"/>
      <c r="S20" s="64"/>
    </row>
    <row r="21" ht="15.75" spans="1:19">
      <c r="A21" s="54">
        <v>548</v>
      </c>
      <c r="B21" s="54">
        <v>2</v>
      </c>
      <c r="C21" s="54">
        <v>600</v>
      </c>
      <c r="D21" s="54">
        <v>18</v>
      </c>
      <c r="E21" s="54">
        <v>300</v>
      </c>
      <c r="F21" s="61">
        <v>62</v>
      </c>
      <c r="G21" s="61">
        <v>112</v>
      </c>
      <c r="H21" s="61">
        <v>202</v>
      </c>
      <c r="I21" s="61">
        <v>262</v>
      </c>
      <c r="J21" s="62">
        <v>300</v>
      </c>
      <c r="K21" s="65"/>
      <c r="L21" s="57"/>
      <c r="M21" s="57"/>
      <c r="N21" s="57"/>
      <c r="O21" s="57"/>
      <c r="P21" s="57"/>
      <c r="Q21" s="57"/>
      <c r="R21" s="57"/>
      <c r="S21" s="57"/>
    </row>
    <row r="22" ht="15.75" spans="1:19">
      <c r="A22" s="54">
        <v>565</v>
      </c>
      <c r="B22" s="54">
        <v>3</v>
      </c>
      <c r="C22" s="54">
        <v>1200</v>
      </c>
      <c r="D22" s="54">
        <v>8</v>
      </c>
      <c r="E22" s="54">
        <v>300</v>
      </c>
      <c r="F22" s="61">
        <v>45</v>
      </c>
      <c r="G22" s="61">
        <v>95</v>
      </c>
      <c r="H22" s="61">
        <v>185</v>
      </c>
      <c r="I22" s="61">
        <v>245</v>
      </c>
      <c r="J22" s="62">
        <v>300</v>
      </c>
      <c r="K22" s="65"/>
      <c r="L22" s="57"/>
      <c r="M22" s="57"/>
      <c r="N22" s="57"/>
      <c r="O22" s="57"/>
      <c r="P22" s="57"/>
      <c r="Q22" s="57"/>
      <c r="R22" s="57"/>
      <c r="S22" s="57"/>
    </row>
    <row r="23" ht="15.75" spans="1:19">
      <c r="A23" s="54">
        <v>577</v>
      </c>
      <c r="B23" s="54">
        <v>4</v>
      </c>
      <c r="C23" s="54">
        <v>3000</v>
      </c>
      <c r="D23" s="54">
        <v>3</v>
      </c>
      <c r="E23" s="54">
        <v>300</v>
      </c>
      <c r="F23" s="61">
        <v>33</v>
      </c>
      <c r="G23" s="61">
        <v>83</v>
      </c>
      <c r="H23" s="61">
        <v>173</v>
      </c>
      <c r="I23" s="61">
        <v>233</v>
      </c>
      <c r="J23" s="62">
        <v>300</v>
      </c>
      <c r="K23" s="65"/>
      <c r="L23" s="57"/>
      <c r="M23" s="57"/>
      <c r="N23" s="57"/>
      <c r="O23" s="57"/>
      <c r="P23" s="57"/>
      <c r="Q23" s="57"/>
      <c r="R23" s="57"/>
      <c r="S23" s="57"/>
    </row>
    <row r="24" ht="15.75" spans="1:19">
      <c r="A24" s="54">
        <v>587</v>
      </c>
      <c r="B24" s="54">
        <v>5</v>
      </c>
      <c r="C24" s="54">
        <v>7000</v>
      </c>
      <c r="D24" s="54">
        <v>2</v>
      </c>
      <c r="E24" s="54">
        <v>300</v>
      </c>
      <c r="F24" s="61">
        <v>23</v>
      </c>
      <c r="G24" s="61">
        <v>73</v>
      </c>
      <c r="H24" s="61">
        <v>163</v>
      </c>
      <c r="I24" s="61">
        <v>223</v>
      </c>
      <c r="J24" s="62">
        <v>300</v>
      </c>
      <c r="K24" s="65"/>
      <c r="L24" s="57"/>
      <c r="M24" s="57"/>
      <c r="N24" s="57"/>
      <c r="O24" s="57"/>
      <c r="P24" s="57"/>
      <c r="Q24" s="57"/>
      <c r="R24" s="57"/>
      <c r="S24" s="57"/>
    </row>
    <row r="25" ht="15.75" spans="1:19">
      <c r="A25" s="54">
        <v>589</v>
      </c>
      <c r="B25" s="54">
        <v>6</v>
      </c>
      <c r="C25" s="54" t="s">
        <v>711</v>
      </c>
      <c r="D25" s="54">
        <v>0</v>
      </c>
      <c r="E25" s="54">
        <v>300</v>
      </c>
      <c r="F25" s="61">
        <v>21</v>
      </c>
      <c r="G25" s="61">
        <v>71</v>
      </c>
      <c r="H25" s="61">
        <v>161</v>
      </c>
      <c r="I25" s="61">
        <v>221</v>
      </c>
      <c r="J25" s="62">
        <v>300</v>
      </c>
      <c r="K25" s="65"/>
      <c r="L25" s="57"/>
      <c r="M25" s="57"/>
      <c r="N25" s="57"/>
      <c r="O25" s="57"/>
      <c r="P25" s="57"/>
      <c r="Q25" s="57"/>
      <c r="R25" s="57"/>
      <c r="S25" s="57"/>
    </row>
    <row r="26" ht="15.75" customHeight="1" spans="1:19">
      <c r="A26" s="54">
        <v>376</v>
      </c>
      <c r="B26" s="54">
        <v>1</v>
      </c>
      <c r="C26" s="54" t="s">
        <v>715</v>
      </c>
      <c r="D26" s="54">
        <v>30.5</v>
      </c>
      <c r="E26" s="54">
        <v>370</v>
      </c>
      <c r="F26" s="61">
        <v>234</v>
      </c>
      <c r="G26" s="61">
        <v>284</v>
      </c>
      <c r="H26" s="61">
        <v>374</v>
      </c>
      <c r="I26" s="61">
        <v>434</v>
      </c>
      <c r="J26" s="62">
        <v>390</v>
      </c>
      <c r="K26" s="78" t="s">
        <v>716</v>
      </c>
      <c r="L26" s="79"/>
      <c r="M26" s="79"/>
      <c r="N26" s="79"/>
      <c r="O26" s="80"/>
      <c r="P26" s="64"/>
      <c r="Q26" s="64"/>
      <c r="R26" s="64"/>
      <c r="S26" s="64"/>
    </row>
    <row r="27" ht="15.75" spans="1:19">
      <c r="A27" s="54">
        <v>400</v>
      </c>
      <c r="B27" s="54">
        <v>2</v>
      </c>
      <c r="C27" s="54" t="s">
        <v>717</v>
      </c>
      <c r="D27" s="54">
        <v>23.8</v>
      </c>
      <c r="E27" s="54">
        <v>390</v>
      </c>
      <c r="F27" s="61">
        <v>210</v>
      </c>
      <c r="G27" s="61">
        <v>260</v>
      </c>
      <c r="H27" s="61">
        <v>350</v>
      </c>
      <c r="I27" s="61">
        <v>410</v>
      </c>
      <c r="J27" s="62">
        <v>390</v>
      </c>
      <c r="K27" s="65"/>
      <c r="L27" s="57"/>
      <c r="M27" s="57"/>
      <c r="N27" s="57"/>
      <c r="O27" s="57"/>
      <c r="P27" s="57"/>
      <c r="Q27" s="57"/>
      <c r="R27" s="57"/>
      <c r="S27" s="57"/>
    </row>
    <row r="28" ht="15.75" spans="1:19">
      <c r="A28" s="54">
        <v>422</v>
      </c>
      <c r="B28" s="54">
        <v>3</v>
      </c>
      <c r="C28" s="54" t="s">
        <v>718</v>
      </c>
      <c r="D28" s="54">
        <v>17</v>
      </c>
      <c r="E28" s="54">
        <v>390</v>
      </c>
      <c r="F28" s="61">
        <v>188</v>
      </c>
      <c r="G28" s="61">
        <v>238</v>
      </c>
      <c r="H28" s="61">
        <v>328</v>
      </c>
      <c r="I28" s="61">
        <v>388</v>
      </c>
      <c r="J28" s="62">
        <v>390</v>
      </c>
      <c r="K28" s="65"/>
      <c r="L28" s="57"/>
      <c r="M28" s="57"/>
      <c r="N28" s="57"/>
      <c r="O28" s="57"/>
      <c r="P28" s="57"/>
      <c r="Q28" s="57"/>
      <c r="R28" s="57"/>
      <c r="S28" s="57"/>
    </row>
    <row r="29" ht="15.75" spans="1:19">
      <c r="A29" s="54">
        <v>440</v>
      </c>
      <c r="B29" s="54">
        <v>4</v>
      </c>
      <c r="C29" s="54" t="s">
        <v>719</v>
      </c>
      <c r="D29" s="54">
        <v>10.2</v>
      </c>
      <c r="E29" s="54">
        <v>390</v>
      </c>
      <c r="F29" s="61">
        <v>170</v>
      </c>
      <c r="G29" s="61">
        <v>220</v>
      </c>
      <c r="H29" s="61">
        <v>310</v>
      </c>
      <c r="I29" s="61">
        <v>370</v>
      </c>
      <c r="J29" s="62">
        <v>390</v>
      </c>
      <c r="K29" s="65"/>
      <c r="L29" s="57"/>
      <c r="M29" s="57"/>
      <c r="N29" s="57"/>
      <c r="O29" s="57"/>
      <c r="P29" s="57"/>
      <c r="Q29" s="57"/>
      <c r="R29" s="57"/>
      <c r="S29" s="57"/>
    </row>
    <row r="30" ht="15.75" spans="1:19">
      <c r="A30" s="54">
        <v>454</v>
      </c>
      <c r="B30" s="54">
        <v>5</v>
      </c>
      <c r="C30" s="54" t="s">
        <v>720</v>
      </c>
      <c r="D30" s="54">
        <v>3.4</v>
      </c>
      <c r="E30" s="54">
        <v>390</v>
      </c>
      <c r="F30" s="61">
        <v>156</v>
      </c>
      <c r="G30" s="61">
        <v>206</v>
      </c>
      <c r="H30" s="61">
        <v>296</v>
      </c>
      <c r="I30" s="61">
        <v>356</v>
      </c>
      <c r="J30" s="62">
        <v>390</v>
      </c>
      <c r="K30" s="65"/>
      <c r="L30" s="57"/>
      <c r="M30" s="57"/>
      <c r="N30" s="57"/>
      <c r="O30" s="57"/>
      <c r="P30" s="57"/>
      <c r="Q30" s="57"/>
      <c r="R30" s="57"/>
      <c r="S30" s="57"/>
    </row>
    <row r="31" ht="15.75" spans="1:19">
      <c r="A31" s="54">
        <v>460</v>
      </c>
      <c r="B31" s="54">
        <v>6</v>
      </c>
      <c r="C31" s="54" t="s">
        <v>721</v>
      </c>
      <c r="D31" s="54">
        <v>0</v>
      </c>
      <c r="E31" s="54">
        <v>400</v>
      </c>
      <c r="F31" s="61">
        <v>150</v>
      </c>
      <c r="G31" s="61">
        <v>200</v>
      </c>
      <c r="H31" s="61">
        <v>290</v>
      </c>
      <c r="I31" s="61">
        <v>350</v>
      </c>
      <c r="J31" s="62">
        <v>390</v>
      </c>
      <c r="K31" s="65"/>
      <c r="L31" s="57"/>
      <c r="M31" s="57"/>
      <c r="N31" s="57"/>
      <c r="O31" s="57"/>
      <c r="P31" s="57"/>
      <c r="Q31" s="57"/>
      <c r="R31" s="57"/>
      <c r="S31" s="57"/>
    </row>
    <row r="32" ht="15.75" customHeight="1" spans="1:19">
      <c r="A32" s="54">
        <v>507</v>
      </c>
      <c r="B32" s="54">
        <v>1</v>
      </c>
      <c r="C32" s="54">
        <v>500</v>
      </c>
      <c r="D32" s="54">
        <v>39.5</v>
      </c>
      <c r="E32" s="54">
        <v>400</v>
      </c>
      <c r="F32" s="61">
        <v>103</v>
      </c>
      <c r="G32" s="61">
        <v>153</v>
      </c>
      <c r="H32" s="61">
        <v>243</v>
      </c>
      <c r="I32" s="61">
        <v>303</v>
      </c>
      <c r="J32" s="62">
        <v>400</v>
      </c>
      <c r="K32" s="78" t="s">
        <v>722</v>
      </c>
      <c r="L32" s="79"/>
      <c r="M32" s="79"/>
      <c r="N32" s="79"/>
      <c r="O32" s="80"/>
      <c r="P32" s="64"/>
      <c r="Q32" s="64"/>
      <c r="R32" s="64"/>
      <c r="S32" s="64"/>
    </row>
    <row r="33" ht="15.75" spans="1:19">
      <c r="A33" s="54">
        <v>531</v>
      </c>
      <c r="B33" s="54">
        <v>2</v>
      </c>
      <c r="C33" s="54">
        <v>800</v>
      </c>
      <c r="D33" s="54">
        <v>23.5</v>
      </c>
      <c r="E33" s="54">
        <v>400</v>
      </c>
      <c r="F33" s="61">
        <v>79</v>
      </c>
      <c r="G33" s="61">
        <v>129</v>
      </c>
      <c r="H33" s="61">
        <v>219</v>
      </c>
      <c r="I33" s="61">
        <v>279</v>
      </c>
      <c r="J33" s="62">
        <v>400</v>
      </c>
      <c r="K33" s="65"/>
      <c r="L33" s="57"/>
      <c r="M33" s="57"/>
      <c r="N33" s="57"/>
      <c r="O33" s="57"/>
      <c r="P33" s="57"/>
      <c r="Q33" s="57"/>
      <c r="R33" s="57"/>
      <c r="S33" s="57"/>
    </row>
    <row r="34" ht="15.75" spans="1:19">
      <c r="A34" s="54">
        <v>540</v>
      </c>
      <c r="B34" s="54">
        <v>3</v>
      </c>
      <c r="C34" s="54">
        <v>1200</v>
      </c>
      <c r="D34" s="54">
        <v>16</v>
      </c>
      <c r="E34" s="54">
        <v>400</v>
      </c>
      <c r="F34" s="61">
        <v>70</v>
      </c>
      <c r="G34" s="61">
        <v>120</v>
      </c>
      <c r="H34" s="61">
        <v>210</v>
      </c>
      <c r="I34" s="61">
        <v>270</v>
      </c>
      <c r="J34" s="62">
        <v>400</v>
      </c>
      <c r="K34" s="65"/>
      <c r="L34" s="57"/>
      <c r="M34" s="57"/>
      <c r="N34" s="57"/>
      <c r="O34" s="57"/>
      <c r="P34" s="57"/>
      <c r="Q34" s="57"/>
      <c r="R34" s="57"/>
      <c r="S34" s="57"/>
    </row>
    <row r="35" ht="15.75" spans="1:19">
      <c r="A35" s="54">
        <v>560</v>
      </c>
      <c r="B35" s="54">
        <v>4</v>
      </c>
      <c r="C35" s="54">
        <v>1600</v>
      </c>
      <c r="D35" s="54">
        <v>12.5</v>
      </c>
      <c r="E35" s="54">
        <v>400</v>
      </c>
      <c r="F35" s="61">
        <v>50</v>
      </c>
      <c r="G35" s="61">
        <v>100</v>
      </c>
      <c r="H35" s="61">
        <v>190</v>
      </c>
      <c r="I35" s="61">
        <v>250</v>
      </c>
      <c r="J35" s="62">
        <v>400</v>
      </c>
      <c r="K35" s="65"/>
      <c r="L35" s="57"/>
      <c r="M35" s="57"/>
      <c r="N35" s="57"/>
      <c r="O35" s="57"/>
      <c r="P35" s="57"/>
      <c r="Q35" s="57"/>
      <c r="R35" s="57"/>
      <c r="S35" s="57"/>
    </row>
    <row r="36" ht="15.75" spans="1:19">
      <c r="A36" s="54">
        <v>580</v>
      </c>
      <c r="B36" s="54">
        <v>5</v>
      </c>
      <c r="C36" s="54">
        <v>4000</v>
      </c>
      <c r="D36" s="54">
        <v>5</v>
      </c>
      <c r="E36" s="54">
        <v>400</v>
      </c>
      <c r="F36" s="61">
        <v>30</v>
      </c>
      <c r="G36" s="61">
        <v>80</v>
      </c>
      <c r="H36" s="61">
        <v>170</v>
      </c>
      <c r="I36" s="61">
        <v>230</v>
      </c>
      <c r="J36" s="62">
        <v>400</v>
      </c>
      <c r="K36" s="65"/>
      <c r="L36" s="57"/>
      <c r="M36" s="57"/>
      <c r="N36" s="57"/>
      <c r="O36" s="57"/>
      <c r="P36" s="57"/>
      <c r="Q36" s="57"/>
      <c r="R36" s="57"/>
      <c r="S36" s="57"/>
    </row>
    <row r="37" ht="15.75" spans="1:19">
      <c r="A37" s="54">
        <v>590</v>
      </c>
      <c r="B37" s="54">
        <v>6</v>
      </c>
      <c r="C37" s="54" t="s">
        <v>711</v>
      </c>
      <c r="D37" s="54">
        <v>0</v>
      </c>
      <c r="E37" s="54">
        <v>400</v>
      </c>
      <c r="F37" s="61">
        <v>20</v>
      </c>
      <c r="G37" s="61">
        <v>70</v>
      </c>
      <c r="H37" s="61">
        <v>160</v>
      </c>
      <c r="I37" s="61">
        <v>220</v>
      </c>
      <c r="J37" s="62">
        <v>400</v>
      </c>
      <c r="K37" s="65"/>
      <c r="L37" s="57"/>
      <c r="M37" s="57"/>
      <c r="N37" s="57"/>
      <c r="O37" s="57"/>
      <c r="P37" s="57"/>
      <c r="Q37" s="57"/>
      <c r="R37" s="57"/>
      <c r="S37" s="57"/>
    </row>
  </sheetData>
  <autoFilter xmlns:etc="http://www.wps.cn/officeDocument/2017/etCustomData" ref="A1:J37" etc:filterBottomFollowUsedRange="0">
    <extLst/>
  </autoFilter>
  <pageMargins left="0.708661417322835" right="0.708661417322835" top="0.748031496062992" bottom="0.748031496062992" header="0.31496062992126" footer="0.31496062992126"/>
  <pageSetup paperSize="9" scale="64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8"/>
  <sheetViews>
    <sheetView topLeftCell="A25" workbookViewId="0">
      <selection activeCell="F3" sqref="F3"/>
    </sheetView>
  </sheetViews>
  <sheetFormatPr defaultColWidth="9" defaultRowHeight="12.75" outlineLevelCol="7"/>
  <cols>
    <col min="2" max="2" width="20.7111111111111" customWidth="1"/>
    <col min="4" max="4" width="20.7111111111111" hidden="1" customWidth="1"/>
    <col min="8" max="8" width="11.2888888888889" customWidth="1"/>
  </cols>
  <sheetData>
    <row r="1" ht="30.75" customHeight="1" spans="1:8">
      <c r="A1" s="67" t="s">
        <v>705</v>
      </c>
      <c r="B1" s="67" t="s">
        <v>723</v>
      </c>
      <c r="C1" s="67" t="s">
        <v>708</v>
      </c>
      <c r="D1" s="67" t="s">
        <v>723</v>
      </c>
      <c r="E1" s="67" t="s">
        <v>704</v>
      </c>
      <c r="F1" s="67" t="s">
        <v>724</v>
      </c>
      <c r="G1" s="67" t="s">
        <v>725</v>
      </c>
      <c r="H1" s="67" t="s">
        <v>726</v>
      </c>
    </row>
    <row r="2" ht="13.5" spans="1:8">
      <c r="A2" s="68"/>
      <c r="B2" s="68"/>
      <c r="C2" s="68"/>
      <c r="D2" s="68"/>
      <c r="E2" s="68"/>
      <c r="F2" s="68"/>
      <c r="G2" s="68"/>
      <c r="H2" s="68"/>
    </row>
    <row r="3" ht="15.75" spans="1:8">
      <c r="A3" s="69">
        <v>2</v>
      </c>
      <c r="B3" s="70" t="s">
        <v>727</v>
      </c>
      <c r="C3" s="70">
        <v>80</v>
      </c>
      <c r="D3" s="70" t="s">
        <v>727</v>
      </c>
      <c r="E3" s="70">
        <v>410</v>
      </c>
      <c r="F3" s="70">
        <v>413.4</v>
      </c>
      <c r="G3" s="70">
        <v>400</v>
      </c>
      <c r="H3" s="70">
        <v>2</v>
      </c>
    </row>
    <row r="4" ht="15.75" spans="1:8">
      <c r="A4" s="69">
        <v>2</v>
      </c>
      <c r="B4" s="70" t="s">
        <v>72</v>
      </c>
      <c r="C4" s="70">
        <v>105</v>
      </c>
      <c r="D4" s="70" t="s">
        <v>72</v>
      </c>
      <c r="E4" s="70">
        <v>410</v>
      </c>
      <c r="F4" s="70">
        <v>416</v>
      </c>
      <c r="G4" s="70">
        <v>400</v>
      </c>
      <c r="H4" s="70">
        <v>2</v>
      </c>
    </row>
    <row r="5" ht="15.75" spans="1:8">
      <c r="A5" s="69">
        <v>2</v>
      </c>
      <c r="B5" s="70" t="s">
        <v>728</v>
      </c>
      <c r="C5" s="70">
        <v>80</v>
      </c>
      <c r="D5" s="70" t="s">
        <v>728</v>
      </c>
      <c r="E5" s="70">
        <v>360</v>
      </c>
      <c r="F5" s="70">
        <v>363.4</v>
      </c>
      <c r="G5" s="70">
        <v>400</v>
      </c>
      <c r="H5" s="70">
        <v>2</v>
      </c>
    </row>
    <row r="6" ht="15.75" spans="1:8">
      <c r="A6" s="69">
        <v>2</v>
      </c>
      <c r="B6" s="70" t="s">
        <v>729</v>
      </c>
      <c r="C6" s="70">
        <v>100</v>
      </c>
      <c r="D6" s="70" t="s">
        <v>729</v>
      </c>
      <c r="E6" s="70">
        <v>360</v>
      </c>
      <c r="F6" s="70">
        <v>365.5</v>
      </c>
      <c r="G6" s="70">
        <v>400</v>
      </c>
      <c r="H6" s="70">
        <v>2</v>
      </c>
    </row>
    <row r="7" ht="15.75" spans="1:8">
      <c r="A7" s="69">
        <v>2</v>
      </c>
      <c r="B7" s="70" t="s">
        <v>730</v>
      </c>
      <c r="C7" s="70">
        <v>105</v>
      </c>
      <c r="D7" s="70" t="s">
        <v>730</v>
      </c>
      <c r="E7" s="70">
        <v>360</v>
      </c>
      <c r="F7" s="70">
        <v>366.1</v>
      </c>
      <c r="G7" s="70">
        <v>400</v>
      </c>
      <c r="H7" s="70">
        <v>2</v>
      </c>
    </row>
    <row r="8" ht="15.75" spans="1:8">
      <c r="A8" s="69">
        <v>2</v>
      </c>
      <c r="B8" s="70" t="s">
        <v>731</v>
      </c>
      <c r="C8" s="70">
        <v>115</v>
      </c>
      <c r="D8" s="70" t="s">
        <v>731</v>
      </c>
      <c r="E8" s="70">
        <v>360</v>
      </c>
      <c r="F8" s="70">
        <v>367.4</v>
      </c>
      <c r="G8" s="70">
        <v>400</v>
      </c>
      <c r="H8" s="70">
        <v>2</v>
      </c>
    </row>
    <row r="9" ht="15.75" spans="1:8">
      <c r="A9" s="69">
        <v>3</v>
      </c>
      <c r="B9" s="70" t="s">
        <v>732</v>
      </c>
      <c r="C9" s="70">
        <v>20</v>
      </c>
      <c r="D9" s="70" t="s">
        <v>732</v>
      </c>
      <c r="E9" s="70">
        <v>415</v>
      </c>
      <c r="F9" s="70">
        <v>417.1</v>
      </c>
      <c r="G9" s="70">
        <v>600</v>
      </c>
      <c r="H9" s="70">
        <v>2</v>
      </c>
    </row>
    <row r="10" ht="15.75" spans="1:8">
      <c r="A10" s="69">
        <v>3</v>
      </c>
      <c r="B10" s="70" t="s">
        <v>733</v>
      </c>
      <c r="C10" s="70">
        <v>95</v>
      </c>
      <c r="D10" s="70" t="s">
        <v>733</v>
      </c>
      <c r="E10" s="70">
        <v>410</v>
      </c>
      <c r="F10" s="70">
        <v>413.3</v>
      </c>
      <c r="G10" s="70">
        <v>600</v>
      </c>
      <c r="H10" s="70">
        <v>2</v>
      </c>
    </row>
    <row r="11" ht="15.75" spans="1:8">
      <c r="A11" s="69">
        <v>3</v>
      </c>
      <c r="B11" s="70" t="s">
        <v>73</v>
      </c>
      <c r="C11" s="70">
        <v>115</v>
      </c>
      <c r="D11" s="70" t="s">
        <v>73</v>
      </c>
      <c r="E11" s="70">
        <v>410</v>
      </c>
      <c r="F11" s="70">
        <v>414.9</v>
      </c>
      <c r="G11" s="70">
        <v>600</v>
      </c>
      <c r="H11" s="70">
        <v>2</v>
      </c>
    </row>
    <row r="12" ht="15.75" spans="1:8">
      <c r="A12" s="69">
        <v>3</v>
      </c>
      <c r="B12" s="70" t="s">
        <v>74</v>
      </c>
      <c r="C12" s="70">
        <v>125</v>
      </c>
      <c r="D12" s="70" t="s">
        <v>74</v>
      </c>
      <c r="E12" s="70">
        <v>410</v>
      </c>
      <c r="F12" s="70">
        <v>415.9</v>
      </c>
      <c r="G12" s="70">
        <v>600</v>
      </c>
      <c r="H12" s="70">
        <v>2</v>
      </c>
    </row>
    <row r="13" ht="15.75" spans="1:8">
      <c r="A13" s="69">
        <v>3</v>
      </c>
      <c r="B13" s="70" t="s">
        <v>734</v>
      </c>
      <c r="C13" s="70">
        <v>75</v>
      </c>
      <c r="D13" s="70" t="s">
        <v>734</v>
      </c>
      <c r="E13" s="70">
        <v>365</v>
      </c>
      <c r="F13" s="70">
        <v>367</v>
      </c>
      <c r="G13" s="70">
        <v>600</v>
      </c>
      <c r="H13" s="70">
        <v>2</v>
      </c>
    </row>
    <row r="14" ht="15.75" spans="1:8">
      <c r="A14" s="69">
        <v>3</v>
      </c>
      <c r="B14" s="70" t="s">
        <v>735</v>
      </c>
      <c r="C14" s="70">
        <v>80</v>
      </c>
      <c r="D14" s="70" t="s">
        <v>735</v>
      </c>
      <c r="E14" s="70">
        <v>365</v>
      </c>
      <c r="F14" s="70">
        <v>367.3</v>
      </c>
      <c r="G14" s="70">
        <v>600</v>
      </c>
      <c r="H14" s="70">
        <v>2</v>
      </c>
    </row>
    <row r="15" ht="15.75" spans="1:8">
      <c r="A15" s="69">
        <v>3</v>
      </c>
      <c r="B15" s="70" t="s">
        <v>736</v>
      </c>
      <c r="C15" s="70">
        <v>95</v>
      </c>
      <c r="D15" s="70" t="s">
        <v>736</v>
      </c>
      <c r="E15" s="70">
        <v>360</v>
      </c>
      <c r="F15" s="70">
        <v>363.3</v>
      </c>
      <c r="G15" s="70">
        <v>600</v>
      </c>
      <c r="H15" s="70">
        <v>2</v>
      </c>
    </row>
    <row r="16" ht="15.75" spans="1:8">
      <c r="A16" s="69">
        <v>3</v>
      </c>
      <c r="B16" s="70" t="s">
        <v>737</v>
      </c>
      <c r="C16" s="70">
        <v>100</v>
      </c>
      <c r="D16" s="70" t="s">
        <v>737</v>
      </c>
      <c r="E16" s="70">
        <v>365</v>
      </c>
      <c r="F16" s="70">
        <v>368.7</v>
      </c>
      <c r="G16" s="70">
        <v>600</v>
      </c>
      <c r="H16" s="70">
        <v>2</v>
      </c>
    </row>
    <row r="17" ht="15.75" spans="1:8">
      <c r="A17" s="69">
        <v>3</v>
      </c>
      <c r="B17" s="70" t="s">
        <v>738</v>
      </c>
      <c r="C17" s="70">
        <v>115</v>
      </c>
      <c r="D17" s="70" t="s">
        <v>738</v>
      </c>
      <c r="E17" s="70">
        <v>360</v>
      </c>
      <c r="F17" s="70">
        <v>364.9</v>
      </c>
      <c r="G17" s="70">
        <v>600</v>
      </c>
      <c r="H17" s="70">
        <v>2</v>
      </c>
    </row>
    <row r="18" ht="15.75" spans="1:8">
      <c r="A18" s="69">
        <v>3</v>
      </c>
      <c r="B18" s="70" t="s">
        <v>739</v>
      </c>
      <c r="C18" s="70">
        <v>125</v>
      </c>
      <c r="D18" s="70" t="s">
        <v>739</v>
      </c>
      <c r="E18" s="70">
        <v>360</v>
      </c>
      <c r="F18" s="70">
        <v>365.9</v>
      </c>
      <c r="G18" s="70">
        <v>600</v>
      </c>
      <c r="H18" s="70">
        <v>2</v>
      </c>
    </row>
    <row r="19" ht="15.75" spans="1:8">
      <c r="A19" s="69">
        <v>3</v>
      </c>
      <c r="B19" s="70" t="s">
        <v>740</v>
      </c>
      <c r="C19" s="70">
        <v>135</v>
      </c>
      <c r="D19" s="70" t="s">
        <v>740</v>
      </c>
      <c r="E19" s="70">
        <v>365</v>
      </c>
      <c r="F19" s="70">
        <v>371.9</v>
      </c>
      <c r="G19" s="70">
        <v>600</v>
      </c>
      <c r="H19" s="70">
        <v>2</v>
      </c>
    </row>
    <row r="20" ht="15.75" spans="1:8">
      <c r="A20" s="69">
        <v>3</v>
      </c>
      <c r="B20" s="70" t="s">
        <v>741</v>
      </c>
      <c r="C20" s="70">
        <v>145</v>
      </c>
      <c r="D20" s="70" t="s">
        <v>741</v>
      </c>
      <c r="E20" s="70">
        <v>365</v>
      </c>
      <c r="F20" s="70">
        <v>373</v>
      </c>
      <c r="G20" s="70">
        <v>600</v>
      </c>
      <c r="H20" s="70">
        <v>2</v>
      </c>
    </row>
    <row r="21" ht="15.75" spans="1:8">
      <c r="A21" s="69">
        <v>3</v>
      </c>
      <c r="B21" s="70" t="s">
        <v>742</v>
      </c>
      <c r="C21" s="70">
        <v>75</v>
      </c>
      <c r="D21" s="70" t="s">
        <v>742</v>
      </c>
      <c r="E21" s="70">
        <v>435</v>
      </c>
      <c r="F21" s="70">
        <v>437</v>
      </c>
      <c r="G21" s="70">
        <v>600</v>
      </c>
      <c r="H21" s="70">
        <v>2</v>
      </c>
    </row>
    <row r="22" ht="15.75" spans="1:8">
      <c r="A22" s="69">
        <v>3</v>
      </c>
      <c r="B22" s="70" t="s">
        <v>743</v>
      </c>
      <c r="C22" s="70">
        <v>85</v>
      </c>
      <c r="D22" s="70" t="s">
        <v>743</v>
      </c>
      <c r="E22" s="70">
        <v>435</v>
      </c>
      <c r="F22" s="70">
        <v>438.6</v>
      </c>
      <c r="G22" s="70">
        <v>600</v>
      </c>
      <c r="H22" s="70">
        <v>2</v>
      </c>
    </row>
    <row r="23" ht="15.75" spans="1:8">
      <c r="A23" s="69">
        <v>3</v>
      </c>
      <c r="B23" s="70" t="s">
        <v>744</v>
      </c>
      <c r="C23" s="70">
        <v>95</v>
      </c>
      <c r="D23" s="70" t="s">
        <v>744</v>
      </c>
      <c r="E23" s="70">
        <v>430</v>
      </c>
      <c r="F23" s="70">
        <v>433.3</v>
      </c>
      <c r="G23" s="70">
        <v>600</v>
      </c>
      <c r="H23" s="70">
        <v>2</v>
      </c>
    </row>
    <row r="24" ht="15.75" spans="1:8">
      <c r="A24" s="69">
        <v>3</v>
      </c>
      <c r="B24" s="70" t="s">
        <v>745</v>
      </c>
      <c r="C24" s="70">
        <v>75</v>
      </c>
      <c r="D24" s="70"/>
      <c r="E24" s="70">
        <v>475</v>
      </c>
      <c r="F24" s="70"/>
      <c r="G24" s="70">
        <v>600</v>
      </c>
      <c r="H24" s="70">
        <v>2</v>
      </c>
    </row>
    <row r="25" ht="15.75" spans="1:8">
      <c r="A25" s="69">
        <v>3</v>
      </c>
      <c r="B25" s="70" t="s">
        <v>746</v>
      </c>
      <c r="C25" s="70">
        <v>30</v>
      </c>
      <c r="D25" s="70" t="s">
        <v>746</v>
      </c>
      <c r="E25" s="70">
        <v>520</v>
      </c>
      <c r="F25" s="70">
        <v>522</v>
      </c>
      <c r="G25" s="70">
        <v>600</v>
      </c>
      <c r="H25" s="70">
        <v>2</v>
      </c>
    </row>
    <row r="26" ht="15.75" spans="1:8">
      <c r="A26" s="69">
        <v>3</v>
      </c>
      <c r="B26" s="70" t="s">
        <v>747</v>
      </c>
      <c r="C26" s="70">
        <v>50</v>
      </c>
      <c r="D26" s="70" t="s">
        <v>747</v>
      </c>
      <c r="E26" s="70">
        <v>520</v>
      </c>
      <c r="F26" s="70">
        <v>524</v>
      </c>
      <c r="G26" s="70">
        <v>600</v>
      </c>
      <c r="H26" s="70">
        <v>2</v>
      </c>
    </row>
    <row r="27" ht="15.75" spans="1:8">
      <c r="A27" s="69">
        <v>3</v>
      </c>
      <c r="B27" s="70" t="s">
        <v>748</v>
      </c>
      <c r="C27" s="70">
        <v>70</v>
      </c>
      <c r="D27" s="70" t="s">
        <v>748</v>
      </c>
      <c r="E27" s="70">
        <v>520</v>
      </c>
      <c r="F27" s="70">
        <v>528</v>
      </c>
      <c r="G27" s="70">
        <v>600</v>
      </c>
      <c r="H27" s="70">
        <v>2</v>
      </c>
    </row>
    <row r="28" ht="15.75" spans="1:8">
      <c r="A28" s="69">
        <v>4</v>
      </c>
      <c r="B28" s="70" t="s">
        <v>749</v>
      </c>
      <c r="C28" s="70">
        <v>80</v>
      </c>
      <c r="D28" s="70" t="s">
        <v>749</v>
      </c>
      <c r="E28" s="70">
        <v>420</v>
      </c>
      <c r="F28" s="70">
        <v>420.9</v>
      </c>
      <c r="G28" s="70">
        <v>1500</v>
      </c>
      <c r="H28" s="70">
        <v>2</v>
      </c>
    </row>
    <row r="29" ht="15.75" spans="1:8">
      <c r="A29" s="69">
        <v>4</v>
      </c>
      <c r="B29" s="70" t="s">
        <v>750</v>
      </c>
      <c r="C29" s="70">
        <v>95</v>
      </c>
      <c r="D29" s="70" t="s">
        <v>750</v>
      </c>
      <c r="E29" s="70">
        <v>410</v>
      </c>
      <c r="F29" s="70">
        <v>411.3</v>
      </c>
      <c r="G29" s="70">
        <v>1500</v>
      </c>
      <c r="H29" s="70">
        <v>2</v>
      </c>
    </row>
    <row r="30" ht="15.75" spans="1:8">
      <c r="A30" s="69">
        <v>4</v>
      </c>
      <c r="B30" s="70" t="s">
        <v>751</v>
      </c>
      <c r="C30" s="70">
        <v>115</v>
      </c>
      <c r="D30" s="70" t="s">
        <v>751</v>
      </c>
      <c r="E30" s="70">
        <v>410</v>
      </c>
      <c r="F30" s="70">
        <v>412</v>
      </c>
      <c r="G30" s="70">
        <v>1500</v>
      </c>
      <c r="H30" s="70">
        <v>2</v>
      </c>
    </row>
    <row r="31" ht="15.75" spans="1:8">
      <c r="A31" s="69">
        <v>4</v>
      </c>
      <c r="B31" s="70" t="s">
        <v>752</v>
      </c>
      <c r="C31" s="70">
        <v>125</v>
      </c>
      <c r="D31" s="70" t="s">
        <v>752</v>
      </c>
      <c r="E31" s="70">
        <v>410</v>
      </c>
      <c r="F31" s="70">
        <v>412.4</v>
      </c>
      <c r="G31" s="70">
        <v>1500</v>
      </c>
      <c r="H31" s="70">
        <v>2</v>
      </c>
    </row>
    <row r="32" ht="15.75" spans="1:8">
      <c r="A32" s="69">
        <v>4</v>
      </c>
      <c r="B32" s="70" t="s">
        <v>76</v>
      </c>
      <c r="C32" s="70">
        <v>135</v>
      </c>
      <c r="D32" s="70" t="s">
        <v>76</v>
      </c>
      <c r="E32" s="70">
        <v>410</v>
      </c>
      <c r="F32" s="70">
        <v>412.6</v>
      </c>
      <c r="G32" s="70">
        <v>1500</v>
      </c>
      <c r="H32" s="70">
        <v>2</v>
      </c>
    </row>
    <row r="33" ht="15.75" spans="1:8">
      <c r="A33" s="69">
        <v>4</v>
      </c>
      <c r="B33" s="70" t="s">
        <v>753</v>
      </c>
      <c r="C33" s="70">
        <v>145</v>
      </c>
      <c r="D33" s="70" t="s">
        <v>753</v>
      </c>
      <c r="E33" s="70">
        <v>410</v>
      </c>
      <c r="F33" s="70">
        <v>413.2</v>
      </c>
      <c r="G33" s="70">
        <v>1500</v>
      </c>
      <c r="H33" s="70">
        <v>2</v>
      </c>
    </row>
    <row r="34" ht="15.75" spans="1:8">
      <c r="A34" s="69">
        <v>4</v>
      </c>
      <c r="B34" s="70" t="s">
        <v>754</v>
      </c>
      <c r="C34" s="70">
        <v>155</v>
      </c>
      <c r="D34" s="70" t="s">
        <v>754</v>
      </c>
      <c r="E34" s="70">
        <v>410</v>
      </c>
      <c r="F34" s="70">
        <v>413.7</v>
      </c>
      <c r="G34" s="70">
        <v>1500</v>
      </c>
      <c r="H34" s="70">
        <v>2</v>
      </c>
    </row>
    <row r="35" ht="15.75" spans="1:8">
      <c r="A35" s="69">
        <v>4</v>
      </c>
      <c r="B35" s="70" t="s">
        <v>755</v>
      </c>
      <c r="C35" s="70">
        <v>75</v>
      </c>
      <c r="D35" s="70" t="s">
        <v>755</v>
      </c>
      <c r="E35" s="70">
        <v>365</v>
      </c>
      <c r="F35" s="70">
        <v>365.8</v>
      </c>
      <c r="G35" s="70">
        <v>1500</v>
      </c>
      <c r="H35" s="70">
        <v>2</v>
      </c>
    </row>
    <row r="36" ht="15.75" spans="1:8">
      <c r="A36" s="69">
        <v>4</v>
      </c>
      <c r="B36" s="70" t="s">
        <v>756</v>
      </c>
      <c r="C36" s="70">
        <v>80</v>
      </c>
      <c r="D36" s="70" t="s">
        <v>756</v>
      </c>
      <c r="E36" s="70">
        <v>365</v>
      </c>
      <c r="F36" s="70">
        <v>365.9</v>
      </c>
      <c r="G36" s="70">
        <v>1500</v>
      </c>
      <c r="H36" s="70">
        <v>2</v>
      </c>
    </row>
    <row r="37" ht="15.75" spans="1:8">
      <c r="A37" s="69">
        <v>4</v>
      </c>
      <c r="B37" s="70" t="s">
        <v>757</v>
      </c>
      <c r="C37" s="70">
        <v>95</v>
      </c>
      <c r="D37" s="70" t="s">
        <v>757</v>
      </c>
      <c r="E37" s="70">
        <v>368</v>
      </c>
      <c r="F37" s="70">
        <v>369.2</v>
      </c>
      <c r="G37" s="70">
        <v>1500</v>
      </c>
      <c r="H37" s="70">
        <v>2</v>
      </c>
    </row>
    <row r="38" ht="15.75" spans="1:8">
      <c r="A38" s="69">
        <v>4</v>
      </c>
      <c r="B38" s="70" t="s">
        <v>758</v>
      </c>
      <c r="C38" s="70">
        <v>115</v>
      </c>
      <c r="D38" s="70" t="s">
        <v>758</v>
      </c>
      <c r="E38" s="70">
        <v>360</v>
      </c>
      <c r="F38" s="70">
        <v>362</v>
      </c>
      <c r="G38" s="70">
        <v>1500</v>
      </c>
      <c r="H38" s="70">
        <v>2</v>
      </c>
    </row>
    <row r="39" ht="15.75" spans="1:8">
      <c r="A39" s="69">
        <v>4</v>
      </c>
      <c r="B39" s="70" t="s">
        <v>75</v>
      </c>
      <c r="C39" s="70">
        <v>135</v>
      </c>
      <c r="D39" s="70" t="s">
        <v>75</v>
      </c>
      <c r="E39" s="70">
        <v>365</v>
      </c>
      <c r="F39" s="70">
        <v>367.4</v>
      </c>
      <c r="G39" s="70">
        <v>1500</v>
      </c>
      <c r="H39" s="70">
        <v>2</v>
      </c>
    </row>
    <row r="40" ht="15.75" spans="1:8">
      <c r="A40" s="69">
        <v>4</v>
      </c>
      <c r="B40" s="70" t="s">
        <v>759</v>
      </c>
      <c r="C40" s="70">
        <v>145</v>
      </c>
      <c r="D40" s="70" t="s">
        <v>759</v>
      </c>
      <c r="E40" s="70">
        <v>365</v>
      </c>
      <c r="F40" s="70">
        <v>368.2</v>
      </c>
      <c r="G40" s="70">
        <v>1500</v>
      </c>
      <c r="H40" s="70">
        <v>2</v>
      </c>
    </row>
    <row r="41" ht="15.75" spans="1:8">
      <c r="A41" s="69">
        <v>4</v>
      </c>
      <c r="B41" s="70" t="s">
        <v>760</v>
      </c>
      <c r="C41" s="70">
        <v>75</v>
      </c>
      <c r="D41" s="70" t="s">
        <v>760</v>
      </c>
      <c r="E41" s="70">
        <v>445</v>
      </c>
      <c r="F41" s="70">
        <v>445.8</v>
      </c>
      <c r="G41" s="70">
        <v>1500</v>
      </c>
      <c r="H41" s="70">
        <v>2</v>
      </c>
    </row>
    <row r="42" ht="15.75" spans="1:8">
      <c r="A42" s="69">
        <v>4</v>
      </c>
      <c r="B42" s="70" t="s">
        <v>761</v>
      </c>
      <c r="C42" s="70">
        <v>80</v>
      </c>
      <c r="D42" s="70" t="s">
        <v>761</v>
      </c>
      <c r="E42" s="70">
        <v>430</v>
      </c>
      <c r="F42" s="70">
        <v>430.9</v>
      </c>
      <c r="G42" s="70">
        <v>1500</v>
      </c>
      <c r="H42" s="70">
        <v>2</v>
      </c>
    </row>
    <row r="43" ht="15.75" spans="1:8">
      <c r="A43" s="69">
        <v>4</v>
      </c>
      <c r="B43" s="70" t="s">
        <v>762</v>
      </c>
      <c r="C43" s="70">
        <v>85</v>
      </c>
      <c r="D43" s="70" t="s">
        <v>762</v>
      </c>
      <c r="E43" s="70">
        <v>445</v>
      </c>
      <c r="F43" s="70">
        <v>446</v>
      </c>
      <c r="G43" s="70">
        <v>1500</v>
      </c>
      <c r="H43" s="70">
        <v>2</v>
      </c>
    </row>
    <row r="44" ht="15.75" spans="1:8">
      <c r="A44" s="69">
        <v>4</v>
      </c>
      <c r="B44" s="70" t="s">
        <v>763</v>
      </c>
      <c r="C44" s="70">
        <v>95</v>
      </c>
      <c r="D44" s="70" t="s">
        <v>763</v>
      </c>
      <c r="E44" s="70">
        <v>440</v>
      </c>
      <c r="F44" s="70">
        <v>441.3</v>
      </c>
      <c r="G44" s="70">
        <v>1500</v>
      </c>
      <c r="H44" s="70">
        <v>2</v>
      </c>
    </row>
    <row r="45" ht="15.75" spans="1:8">
      <c r="A45" s="69">
        <v>4</v>
      </c>
      <c r="B45" s="70" t="s">
        <v>764</v>
      </c>
      <c r="C45" s="70">
        <v>105</v>
      </c>
      <c r="D45" s="70" t="s">
        <v>764</v>
      </c>
      <c r="E45" s="70">
        <v>430</v>
      </c>
      <c r="F45" s="70">
        <v>431.6</v>
      </c>
      <c r="G45" s="70">
        <v>1500</v>
      </c>
      <c r="H45" s="70">
        <v>2</v>
      </c>
    </row>
    <row r="46" ht="15.75" spans="1:8">
      <c r="A46" s="69">
        <v>4</v>
      </c>
      <c r="B46" s="70" t="s">
        <v>765</v>
      </c>
      <c r="C46" s="70">
        <v>75</v>
      </c>
      <c r="D46" s="70"/>
      <c r="E46" s="70">
        <v>475</v>
      </c>
      <c r="F46" s="70"/>
      <c r="G46" s="70"/>
      <c r="H46" s="70"/>
    </row>
    <row r="47" ht="15.75" spans="1:8">
      <c r="A47" s="69">
        <v>4</v>
      </c>
      <c r="B47" s="70" t="s">
        <v>766</v>
      </c>
      <c r="C47" s="70">
        <v>30</v>
      </c>
      <c r="D47" s="70" t="s">
        <v>766</v>
      </c>
      <c r="E47" s="70">
        <v>520</v>
      </c>
      <c r="F47" s="70">
        <v>521</v>
      </c>
      <c r="G47" s="70">
        <v>1500</v>
      </c>
      <c r="H47" s="70">
        <v>2</v>
      </c>
    </row>
    <row r="48" ht="15.75" spans="1:8">
      <c r="A48" s="69">
        <v>4</v>
      </c>
      <c r="B48" s="70" t="s">
        <v>767</v>
      </c>
      <c r="C48" s="70">
        <v>40</v>
      </c>
      <c r="D48" s="70" t="s">
        <v>767</v>
      </c>
      <c r="E48" s="70">
        <v>520</v>
      </c>
      <c r="F48" s="70">
        <v>522</v>
      </c>
      <c r="G48" s="70">
        <v>1500</v>
      </c>
      <c r="H48" s="70">
        <v>2</v>
      </c>
    </row>
    <row r="49" ht="15.75" spans="1:8">
      <c r="A49" s="69">
        <v>4</v>
      </c>
      <c r="B49" s="70" t="s">
        <v>768</v>
      </c>
      <c r="C49" s="70">
        <v>50</v>
      </c>
      <c r="D49" s="70" t="s">
        <v>768</v>
      </c>
      <c r="E49" s="70">
        <v>520</v>
      </c>
      <c r="F49" s="70">
        <v>523</v>
      </c>
      <c r="G49" s="70">
        <v>1500</v>
      </c>
      <c r="H49" s="70">
        <v>2</v>
      </c>
    </row>
    <row r="50" ht="15.75" spans="1:8">
      <c r="A50" s="69">
        <v>4</v>
      </c>
      <c r="B50" s="70" t="s">
        <v>769</v>
      </c>
      <c r="C50" s="70">
        <v>60</v>
      </c>
      <c r="D50" s="70" t="s">
        <v>769</v>
      </c>
      <c r="E50" s="70">
        <v>520</v>
      </c>
      <c r="F50" s="70">
        <v>524</v>
      </c>
      <c r="G50" s="70">
        <v>1500</v>
      </c>
      <c r="H50" s="70">
        <v>2</v>
      </c>
    </row>
    <row r="51" ht="15.75" spans="1:8">
      <c r="A51" s="69">
        <v>4</v>
      </c>
      <c r="B51" s="70" t="s">
        <v>770</v>
      </c>
      <c r="C51" s="70">
        <v>70</v>
      </c>
      <c r="D51" s="70" t="s">
        <v>770</v>
      </c>
      <c r="E51" s="70">
        <v>520</v>
      </c>
      <c r="F51" s="70">
        <v>525</v>
      </c>
      <c r="G51" s="70">
        <v>1500</v>
      </c>
      <c r="H51" s="70">
        <v>2</v>
      </c>
    </row>
    <row r="52" ht="15.75" spans="1:8">
      <c r="A52" s="69">
        <v>5</v>
      </c>
      <c r="B52" s="71" t="s">
        <v>771</v>
      </c>
      <c r="C52" s="70">
        <v>75</v>
      </c>
      <c r="D52" s="70"/>
      <c r="E52" s="70">
        <v>475</v>
      </c>
      <c r="F52" s="70"/>
      <c r="G52" s="70"/>
      <c r="H52" s="70"/>
    </row>
    <row r="53" ht="15.75" spans="1:8">
      <c r="A53" s="69">
        <v>6</v>
      </c>
      <c r="B53" s="71" t="s">
        <v>772</v>
      </c>
      <c r="C53" s="70">
        <v>75</v>
      </c>
      <c r="D53" s="70"/>
      <c r="E53" s="70">
        <v>475</v>
      </c>
      <c r="F53" s="70"/>
      <c r="G53" s="70"/>
      <c r="H53" s="70"/>
    </row>
    <row r="54" ht="15.75" spans="1:8">
      <c r="A54" s="72" t="s">
        <v>773</v>
      </c>
      <c r="B54" s="70" t="s">
        <v>774</v>
      </c>
      <c r="C54" s="70">
        <v>15</v>
      </c>
      <c r="D54" s="70" t="s">
        <v>774</v>
      </c>
      <c r="E54" s="70">
        <v>520</v>
      </c>
      <c r="F54" s="54">
        <v>0</v>
      </c>
      <c r="G54" s="60">
        <v>0</v>
      </c>
      <c r="H54" s="70">
        <v>2</v>
      </c>
    </row>
    <row r="55" ht="15.75" spans="1:8">
      <c r="A55" s="72" t="s">
        <v>773</v>
      </c>
      <c r="B55" s="70" t="s">
        <v>775</v>
      </c>
      <c r="C55" s="70">
        <v>20</v>
      </c>
      <c r="D55" s="70" t="s">
        <v>775</v>
      </c>
      <c r="E55" s="70">
        <v>520</v>
      </c>
      <c r="F55" s="68">
        <v>0</v>
      </c>
      <c r="G55" s="73">
        <v>0</v>
      </c>
      <c r="H55" s="70">
        <v>2</v>
      </c>
    </row>
    <row r="56" ht="15.75" spans="1:8">
      <c r="A56" s="72" t="s">
        <v>773</v>
      </c>
      <c r="B56" s="74" t="s">
        <v>776</v>
      </c>
      <c r="C56" s="74">
        <v>25</v>
      </c>
      <c r="D56" s="74" t="s">
        <v>776</v>
      </c>
      <c r="E56" s="74">
        <v>520</v>
      </c>
      <c r="F56" s="54">
        <v>0</v>
      </c>
      <c r="G56" s="75">
        <v>0</v>
      </c>
      <c r="H56" s="74">
        <v>2</v>
      </c>
    </row>
    <row r="57" ht="15.75" spans="1:8">
      <c r="A57" s="72" t="s">
        <v>773</v>
      </c>
      <c r="B57" s="76" t="s">
        <v>78</v>
      </c>
      <c r="C57" s="76">
        <v>0</v>
      </c>
      <c r="D57" s="76" t="s">
        <v>78</v>
      </c>
      <c r="E57" s="76">
        <v>365</v>
      </c>
      <c r="F57" s="77">
        <v>0</v>
      </c>
      <c r="G57" s="62">
        <v>0</v>
      </c>
      <c r="H57" s="76">
        <v>4</v>
      </c>
    </row>
    <row r="58" ht="15.75" spans="1:8">
      <c r="A58" s="72" t="s">
        <v>773</v>
      </c>
      <c r="B58" s="76" t="s">
        <v>78</v>
      </c>
      <c r="C58" s="76">
        <v>0</v>
      </c>
      <c r="D58" s="76" t="s">
        <v>78</v>
      </c>
      <c r="E58" s="76">
        <v>455</v>
      </c>
      <c r="F58" s="62">
        <v>0</v>
      </c>
      <c r="G58" s="62">
        <v>0</v>
      </c>
      <c r="H58" s="76">
        <v>4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1.02362204724409" right="0.708661417322835" top="0.669291338582677" bottom="0.393700787401575" header="0.31496062992126" footer="0.31496062992126"/>
  <pageSetup paperSize="9" scale="85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zoomScale="175" zoomScaleNormal="175" workbookViewId="0">
      <selection activeCell="A38" sqref="A38"/>
    </sheetView>
  </sheetViews>
  <sheetFormatPr defaultColWidth="9" defaultRowHeight="12.75"/>
  <cols>
    <col min="1" max="1" width="9.14444444444444" style="53"/>
    <col min="2" max="2" width="5.42222222222222" style="53" customWidth="1"/>
    <col min="3" max="3" width="7.28888888888889" style="53" customWidth="1"/>
    <col min="4" max="4" width="7.42222222222222" style="53" customWidth="1"/>
    <col min="5" max="5" width="7.56666666666667" style="53" customWidth="1"/>
    <col min="6" max="6" width="8.85555555555556" style="53" customWidth="1"/>
    <col min="7" max="7" width="8.14444444444444" style="53" customWidth="1"/>
    <col min="8" max="9" width="8.28888888888889" style="53" customWidth="1"/>
    <col min="10" max="10" width="18.5666666666667" style="53" customWidth="1"/>
    <col min="11" max="14" width="9.14444444444444" style="53"/>
    <col min="15" max="15" width="10.5666666666667" style="53" customWidth="1"/>
    <col min="16" max="16384" width="9.14444444444444" style="53"/>
  </cols>
  <sheetData>
    <row r="1" ht="43.5" customHeight="1" spans="1:19">
      <c r="A1" s="54" t="s">
        <v>704</v>
      </c>
      <c r="B1" s="54" t="s">
        <v>705</v>
      </c>
      <c r="C1" s="54" t="s">
        <v>706</v>
      </c>
      <c r="D1" s="54" t="s">
        <v>707</v>
      </c>
      <c r="E1" s="54" t="s">
        <v>708</v>
      </c>
      <c r="F1" s="54">
        <v>220</v>
      </c>
      <c r="G1" s="54">
        <v>270</v>
      </c>
      <c r="H1" s="54">
        <v>360</v>
      </c>
      <c r="I1" s="54">
        <v>420</v>
      </c>
      <c r="J1" s="55" t="s">
        <v>709</v>
      </c>
      <c r="K1" s="56"/>
      <c r="L1" s="56"/>
      <c r="M1" s="57"/>
      <c r="N1" s="57"/>
      <c r="O1" s="57"/>
      <c r="P1" s="57"/>
      <c r="Q1" s="57"/>
      <c r="R1" s="57"/>
      <c r="S1" s="57"/>
    </row>
    <row r="2" ht="15" customHeight="1" spans="1:19">
      <c r="A2" s="58" t="s">
        <v>777</v>
      </c>
      <c r="B2" s="59"/>
      <c r="C2" s="59"/>
      <c r="D2" s="59"/>
      <c r="E2" s="59"/>
      <c r="F2" s="59"/>
      <c r="G2" s="59"/>
      <c r="H2" s="59"/>
      <c r="I2" s="59"/>
      <c r="J2" s="60"/>
      <c r="K2" s="56"/>
      <c r="L2" s="56"/>
      <c r="M2" s="57"/>
      <c r="N2" s="57"/>
      <c r="O2" s="57"/>
      <c r="P2" s="57"/>
      <c r="Q2" s="57"/>
      <c r="R2" s="57"/>
      <c r="S2" s="57"/>
    </row>
    <row r="3" ht="15.75" customHeight="1" spans="1:19">
      <c r="A3" s="54">
        <v>578</v>
      </c>
      <c r="B3" s="54">
        <v>1</v>
      </c>
      <c r="C3" s="54">
        <v>110</v>
      </c>
      <c r="D3" s="54">
        <v>9.5</v>
      </c>
      <c r="E3" s="54">
        <v>88.4</v>
      </c>
      <c r="F3" s="61">
        <v>32</v>
      </c>
      <c r="G3" s="61">
        <v>82</v>
      </c>
      <c r="H3" s="61">
        <v>172</v>
      </c>
      <c r="I3" s="61">
        <v>232</v>
      </c>
      <c r="J3" s="62">
        <v>100</v>
      </c>
      <c r="K3" s="63"/>
      <c r="L3" s="64"/>
      <c r="M3" s="64"/>
      <c r="N3" s="64"/>
      <c r="O3" s="64"/>
      <c r="P3" s="64"/>
      <c r="Q3" s="64"/>
      <c r="R3" s="64"/>
      <c r="S3" s="64"/>
    </row>
    <row r="4" ht="15.75" spans="1:19">
      <c r="A4" s="54">
        <v>584</v>
      </c>
      <c r="B4" s="54">
        <v>2</v>
      </c>
      <c r="C4" s="54">
        <v>130</v>
      </c>
      <c r="D4" s="54">
        <v>7.5</v>
      </c>
      <c r="E4" s="54">
        <v>88.2</v>
      </c>
      <c r="F4" s="61">
        <v>26</v>
      </c>
      <c r="G4" s="61">
        <v>76</v>
      </c>
      <c r="H4" s="61">
        <v>166</v>
      </c>
      <c r="I4" s="61">
        <v>226</v>
      </c>
      <c r="J4" s="62">
        <v>100</v>
      </c>
      <c r="K4" s="65"/>
      <c r="L4" s="57"/>
      <c r="M4" s="57"/>
      <c r="N4" s="57"/>
      <c r="O4" s="57"/>
      <c r="P4" s="57"/>
      <c r="Q4" s="57"/>
      <c r="R4" s="57"/>
      <c r="S4" s="57"/>
    </row>
    <row r="5" ht="15.75" spans="1:19">
      <c r="A5" s="54">
        <v>591</v>
      </c>
      <c r="B5" s="54">
        <v>3</v>
      </c>
      <c r="C5" s="54">
        <v>210</v>
      </c>
      <c r="D5" s="54">
        <v>5</v>
      </c>
      <c r="E5" s="54">
        <v>93.4</v>
      </c>
      <c r="F5" s="61">
        <v>19</v>
      </c>
      <c r="G5" s="61">
        <v>69</v>
      </c>
      <c r="H5" s="61">
        <v>159</v>
      </c>
      <c r="I5" s="61">
        <v>219</v>
      </c>
      <c r="J5" s="62">
        <v>100</v>
      </c>
      <c r="K5" s="65"/>
      <c r="L5" s="57"/>
      <c r="M5" s="57"/>
      <c r="N5" s="57"/>
      <c r="O5" s="57"/>
      <c r="P5" s="57"/>
      <c r="Q5" s="57"/>
      <c r="R5" s="57"/>
      <c r="S5" s="57"/>
    </row>
    <row r="6" ht="15.75" spans="1:19">
      <c r="A6" s="54">
        <v>595</v>
      </c>
      <c r="B6" s="54">
        <v>4</v>
      </c>
      <c r="C6" s="54">
        <v>390</v>
      </c>
      <c r="D6" s="54">
        <v>2.5</v>
      </c>
      <c r="E6" s="54">
        <v>93.8</v>
      </c>
      <c r="F6" s="61">
        <v>15</v>
      </c>
      <c r="G6" s="61">
        <v>65</v>
      </c>
      <c r="H6" s="61">
        <v>155</v>
      </c>
      <c r="I6" s="61">
        <v>215</v>
      </c>
      <c r="J6" s="62">
        <v>100</v>
      </c>
      <c r="K6" s="65"/>
      <c r="L6" s="57"/>
      <c r="M6" s="57"/>
      <c r="N6" s="57"/>
      <c r="O6" s="57"/>
      <c r="P6" s="57"/>
      <c r="Q6" s="57"/>
      <c r="R6" s="57"/>
      <c r="S6" s="57"/>
    </row>
    <row r="7" ht="15.75" spans="1:19">
      <c r="A7" s="54">
        <v>599</v>
      </c>
      <c r="B7" s="54">
        <v>5</v>
      </c>
      <c r="C7" s="54">
        <v>730</v>
      </c>
      <c r="D7" s="54">
        <v>0.5</v>
      </c>
      <c r="E7" s="54">
        <v>92.8</v>
      </c>
      <c r="F7" s="61">
        <v>11</v>
      </c>
      <c r="G7" s="61">
        <v>61</v>
      </c>
      <c r="H7" s="61">
        <v>151</v>
      </c>
      <c r="I7" s="61">
        <v>211</v>
      </c>
      <c r="J7" s="62">
        <v>100</v>
      </c>
      <c r="K7" s="65"/>
      <c r="L7" s="57"/>
      <c r="M7" s="57"/>
      <c r="N7" s="57"/>
      <c r="O7" s="57"/>
      <c r="P7" s="57"/>
      <c r="Q7" s="57"/>
      <c r="R7" s="57"/>
      <c r="S7" s="57"/>
    </row>
    <row r="8" ht="15.75" spans="1:19">
      <c r="A8" s="54">
        <v>599</v>
      </c>
      <c r="B8" s="54">
        <v>6</v>
      </c>
      <c r="C8" s="54" t="s">
        <v>711</v>
      </c>
      <c r="D8" s="54">
        <v>0</v>
      </c>
      <c r="E8" s="54">
        <v>94.3</v>
      </c>
      <c r="F8" s="61">
        <v>11</v>
      </c>
      <c r="G8" s="61">
        <v>61</v>
      </c>
      <c r="H8" s="61">
        <v>151</v>
      </c>
      <c r="I8" s="61">
        <v>211</v>
      </c>
      <c r="J8" s="62">
        <v>100</v>
      </c>
      <c r="K8" s="65"/>
      <c r="L8" s="57"/>
      <c r="M8" s="57"/>
      <c r="N8" s="57"/>
      <c r="O8" s="57"/>
      <c r="P8" s="57"/>
      <c r="Q8" s="57"/>
      <c r="R8" s="57"/>
      <c r="S8" s="57"/>
    </row>
    <row r="9" ht="15.75" spans="1:19">
      <c r="A9" s="58" t="s">
        <v>778</v>
      </c>
      <c r="B9" s="59"/>
      <c r="C9" s="59"/>
      <c r="D9" s="59"/>
      <c r="E9" s="59"/>
      <c r="F9" s="59"/>
      <c r="G9" s="59"/>
      <c r="H9" s="59"/>
      <c r="I9" s="59"/>
      <c r="J9" s="60"/>
      <c r="K9" s="65"/>
      <c r="L9" s="57"/>
      <c r="M9" s="57"/>
      <c r="N9" s="57"/>
      <c r="O9" s="57"/>
      <c r="P9" s="57"/>
      <c r="Q9" s="57"/>
      <c r="R9" s="57"/>
      <c r="S9" s="57"/>
    </row>
    <row r="10" ht="15.75" customHeight="1" spans="1:19">
      <c r="A10" s="54">
        <v>523</v>
      </c>
      <c r="B10" s="54">
        <v>1</v>
      </c>
      <c r="C10" s="54">
        <v>110</v>
      </c>
      <c r="D10" s="54">
        <v>21.5</v>
      </c>
      <c r="E10" s="54">
        <v>128</v>
      </c>
      <c r="F10" s="61">
        <v>85</v>
      </c>
      <c r="G10" s="61">
        <v>135</v>
      </c>
      <c r="H10" s="61">
        <v>225</v>
      </c>
      <c r="I10" s="61">
        <v>285</v>
      </c>
      <c r="J10" s="62">
        <v>150</v>
      </c>
      <c r="K10" s="63"/>
      <c r="L10" s="64"/>
      <c r="M10" s="64"/>
      <c r="N10" s="64"/>
      <c r="O10" s="64"/>
      <c r="P10" s="64"/>
      <c r="Q10" s="64"/>
      <c r="R10" s="64"/>
      <c r="S10" s="64"/>
    </row>
    <row r="11" ht="15.75" spans="1:19">
      <c r="A11" s="54">
        <v>526</v>
      </c>
      <c r="B11" s="54">
        <v>2</v>
      </c>
      <c r="C11" s="54">
        <v>170</v>
      </c>
      <c r="D11" s="54">
        <v>14.5</v>
      </c>
      <c r="E11" s="54">
        <v>127.3</v>
      </c>
      <c r="F11" s="61">
        <v>82</v>
      </c>
      <c r="G11" s="61">
        <v>132</v>
      </c>
      <c r="H11" s="61">
        <v>222</v>
      </c>
      <c r="I11" s="61">
        <v>282</v>
      </c>
      <c r="J11" s="62">
        <v>150</v>
      </c>
      <c r="K11" s="65"/>
      <c r="L11" s="57"/>
      <c r="M11" s="57"/>
      <c r="N11" s="57"/>
      <c r="O11" s="57"/>
      <c r="P11" s="57"/>
      <c r="Q11" s="57"/>
      <c r="R11" s="57"/>
      <c r="S11" s="57"/>
    </row>
    <row r="12" ht="15.75" spans="1:19">
      <c r="A12" s="54">
        <v>550</v>
      </c>
      <c r="B12" s="54">
        <v>3</v>
      </c>
      <c r="C12" s="54">
        <v>350</v>
      </c>
      <c r="D12" s="54">
        <v>6.5</v>
      </c>
      <c r="E12" s="54">
        <v>122.3</v>
      </c>
      <c r="F12" s="61">
        <v>58</v>
      </c>
      <c r="G12" s="61">
        <v>108</v>
      </c>
      <c r="H12" s="61">
        <v>198</v>
      </c>
      <c r="I12" s="61">
        <v>258</v>
      </c>
      <c r="J12" s="62">
        <v>150</v>
      </c>
      <c r="K12" s="65"/>
      <c r="L12" s="57"/>
      <c r="M12" s="57"/>
      <c r="N12" s="57"/>
      <c r="O12" s="57"/>
      <c r="P12" s="57"/>
      <c r="Q12" s="57"/>
      <c r="R12" s="57"/>
      <c r="S12" s="57"/>
    </row>
    <row r="13" ht="15.75" spans="1:19">
      <c r="A13" s="54">
        <v>562</v>
      </c>
      <c r="B13" s="54">
        <v>4</v>
      </c>
      <c r="C13" s="54">
        <v>435</v>
      </c>
      <c r="D13" s="54">
        <v>4</v>
      </c>
      <c r="E13" s="54">
        <v>128.5</v>
      </c>
      <c r="F13" s="61">
        <v>46</v>
      </c>
      <c r="G13" s="61">
        <v>96</v>
      </c>
      <c r="H13" s="61">
        <v>186</v>
      </c>
      <c r="I13" s="61">
        <v>246</v>
      </c>
      <c r="J13" s="62">
        <v>150</v>
      </c>
      <c r="K13" s="65"/>
      <c r="L13" s="57"/>
      <c r="M13" s="57"/>
      <c r="N13" s="57"/>
      <c r="O13" s="57"/>
      <c r="P13" s="57"/>
      <c r="Q13" s="57"/>
      <c r="R13" s="57"/>
      <c r="S13" s="57"/>
    </row>
    <row r="14" ht="15.75" spans="1:19">
      <c r="A14" s="54">
        <v>568</v>
      </c>
      <c r="B14" s="54">
        <v>5</v>
      </c>
      <c r="C14" s="54">
        <v>1500</v>
      </c>
      <c r="D14" s="54">
        <v>1.5</v>
      </c>
      <c r="E14" s="54">
        <v>132.8</v>
      </c>
      <c r="F14" s="61">
        <v>40</v>
      </c>
      <c r="G14" s="61">
        <v>90</v>
      </c>
      <c r="H14" s="61">
        <v>180</v>
      </c>
      <c r="I14" s="61">
        <v>240</v>
      </c>
      <c r="J14" s="62">
        <v>150</v>
      </c>
      <c r="K14" s="65"/>
      <c r="L14" s="57"/>
      <c r="M14" s="57"/>
      <c r="N14" s="57"/>
      <c r="O14" s="57"/>
      <c r="P14" s="57"/>
      <c r="Q14" s="57"/>
      <c r="R14" s="57"/>
      <c r="S14" s="57"/>
    </row>
    <row r="15" ht="15.75" spans="1:19">
      <c r="A15" s="54">
        <v>570</v>
      </c>
      <c r="B15" s="54">
        <v>6</v>
      </c>
      <c r="C15" s="54" t="s">
        <v>711</v>
      </c>
      <c r="D15" s="54">
        <v>0</v>
      </c>
      <c r="E15" s="54">
        <v>134.2</v>
      </c>
      <c r="F15" s="61">
        <v>40</v>
      </c>
      <c r="G15" s="61">
        <v>90</v>
      </c>
      <c r="H15" s="61">
        <v>180</v>
      </c>
      <c r="I15" s="61">
        <v>240</v>
      </c>
      <c r="J15" s="62">
        <v>150</v>
      </c>
      <c r="K15" s="65"/>
      <c r="L15" s="57"/>
      <c r="M15" s="57"/>
      <c r="N15" s="57"/>
      <c r="O15" s="57"/>
      <c r="P15" s="57"/>
      <c r="Q15" s="57"/>
      <c r="R15" s="57"/>
      <c r="S15" s="57"/>
    </row>
    <row r="16" ht="15.75" spans="1:19">
      <c r="A16" s="58" t="s">
        <v>779</v>
      </c>
      <c r="B16" s="59"/>
      <c r="C16" s="59"/>
      <c r="D16" s="59"/>
      <c r="E16" s="59"/>
      <c r="F16" s="59"/>
      <c r="G16" s="59"/>
      <c r="H16" s="59"/>
      <c r="I16" s="59"/>
      <c r="J16" s="60"/>
      <c r="K16" s="65"/>
      <c r="L16" s="57"/>
      <c r="M16" s="57"/>
      <c r="N16" s="57"/>
      <c r="O16" s="57"/>
      <c r="P16" s="57"/>
      <c r="Q16" s="57"/>
      <c r="R16" s="57"/>
      <c r="S16" s="57"/>
    </row>
    <row r="17" ht="15.75" customHeight="1" spans="1:19">
      <c r="A17" s="54">
        <v>475</v>
      </c>
      <c r="B17" s="54">
        <v>1</v>
      </c>
      <c r="C17" s="54">
        <v>140</v>
      </c>
      <c r="D17" s="54">
        <v>28.5</v>
      </c>
      <c r="E17" s="54">
        <v>174</v>
      </c>
      <c r="F17" s="61">
        <v>135</v>
      </c>
      <c r="G17" s="61">
        <v>185</v>
      </c>
      <c r="H17" s="61">
        <v>275</v>
      </c>
      <c r="I17" s="61">
        <v>335</v>
      </c>
      <c r="J17" s="62">
        <v>200</v>
      </c>
      <c r="K17" s="63"/>
      <c r="L17" s="64"/>
      <c r="M17" s="64"/>
      <c r="N17" s="64"/>
      <c r="O17" s="64"/>
      <c r="P17" s="64"/>
      <c r="Q17" s="64"/>
      <c r="R17" s="64"/>
      <c r="S17" s="64"/>
    </row>
    <row r="18" ht="15.75" spans="1:19">
      <c r="A18" s="54">
        <v>484</v>
      </c>
      <c r="B18" s="54">
        <v>2</v>
      </c>
      <c r="C18" s="54">
        <v>192</v>
      </c>
      <c r="D18" s="54">
        <v>22</v>
      </c>
      <c r="E18" s="54">
        <v>180</v>
      </c>
      <c r="F18" s="61">
        <v>126</v>
      </c>
      <c r="G18" s="61">
        <v>176</v>
      </c>
      <c r="H18" s="61">
        <v>266</v>
      </c>
      <c r="I18" s="61">
        <v>326</v>
      </c>
      <c r="J18" s="62">
        <v>200</v>
      </c>
      <c r="K18" s="66"/>
      <c r="L18" s="57"/>
      <c r="M18" s="57"/>
      <c r="N18" s="57"/>
      <c r="O18" s="57"/>
      <c r="P18" s="57"/>
      <c r="Q18" s="57"/>
      <c r="R18" s="57"/>
      <c r="S18" s="57"/>
    </row>
    <row r="19" ht="15.75" spans="1:19">
      <c r="A19" s="54">
        <v>495</v>
      </c>
      <c r="B19" s="54">
        <v>3</v>
      </c>
      <c r="C19" s="54">
        <v>285</v>
      </c>
      <c r="D19" s="54">
        <v>14.5</v>
      </c>
      <c r="E19" s="54">
        <v>184</v>
      </c>
      <c r="F19" s="61">
        <v>115</v>
      </c>
      <c r="G19" s="61">
        <v>165</v>
      </c>
      <c r="H19" s="61">
        <v>255</v>
      </c>
      <c r="I19" s="61">
        <v>315</v>
      </c>
      <c r="J19" s="62">
        <v>200</v>
      </c>
      <c r="K19" s="65"/>
      <c r="L19" s="57"/>
      <c r="M19" s="57"/>
      <c r="N19" s="57"/>
      <c r="O19" s="57"/>
      <c r="P19" s="57"/>
      <c r="Q19" s="57"/>
      <c r="R19" s="57"/>
      <c r="S19" s="57"/>
    </row>
    <row r="20" ht="15.75" spans="1:19">
      <c r="A20" s="54">
        <v>506</v>
      </c>
      <c r="B20" s="54">
        <v>4</v>
      </c>
      <c r="C20" s="54">
        <v>479</v>
      </c>
      <c r="D20" s="54">
        <v>9.5</v>
      </c>
      <c r="E20" s="54">
        <v>186</v>
      </c>
      <c r="F20" s="61">
        <v>104</v>
      </c>
      <c r="G20" s="61">
        <v>154</v>
      </c>
      <c r="H20" s="61">
        <v>244</v>
      </c>
      <c r="I20" s="61">
        <v>304</v>
      </c>
      <c r="J20" s="62">
        <v>200</v>
      </c>
      <c r="K20" s="65"/>
      <c r="L20" s="57"/>
      <c r="M20" s="57"/>
      <c r="N20" s="57"/>
      <c r="O20" s="57"/>
      <c r="P20" s="57"/>
      <c r="Q20" s="57"/>
      <c r="R20" s="57"/>
      <c r="S20" s="57"/>
    </row>
    <row r="21" ht="15.75" spans="1:19">
      <c r="A21" s="54">
        <v>512</v>
      </c>
      <c r="B21" s="54">
        <v>5</v>
      </c>
      <c r="C21" s="54">
        <v>1127</v>
      </c>
      <c r="D21" s="54">
        <v>3.5</v>
      </c>
      <c r="E21" s="54">
        <v>189</v>
      </c>
      <c r="F21" s="61">
        <v>98</v>
      </c>
      <c r="G21" s="61">
        <v>148</v>
      </c>
      <c r="H21" s="61">
        <v>238</v>
      </c>
      <c r="I21" s="61">
        <v>298</v>
      </c>
      <c r="J21" s="62">
        <v>200</v>
      </c>
      <c r="K21" s="65"/>
      <c r="L21" s="57"/>
      <c r="M21" s="57"/>
      <c r="N21" s="57"/>
      <c r="O21" s="57"/>
      <c r="P21" s="57"/>
      <c r="Q21" s="57"/>
      <c r="R21" s="57"/>
      <c r="S21" s="57"/>
    </row>
    <row r="22" ht="15.75" spans="1:19">
      <c r="A22" s="54">
        <v>518</v>
      </c>
      <c r="B22" s="54">
        <v>6</v>
      </c>
      <c r="C22" s="54" t="s">
        <v>711</v>
      </c>
      <c r="D22" s="54">
        <v>0</v>
      </c>
      <c r="E22" s="54">
        <v>190</v>
      </c>
      <c r="F22" s="61">
        <v>92</v>
      </c>
      <c r="G22" s="61">
        <v>142</v>
      </c>
      <c r="H22" s="61">
        <v>232</v>
      </c>
      <c r="I22" s="61">
        <v>292</v>
      </c>
      <c r="J22" s="62">
        <v>200</v>
      </c>
      <c r="K22" s="65"/>
      <c r="L22" s="57"/>
      <c r="M22" s="57"/>
      <c r="N22" s="57"/>
      <c r="O22" s="57"/>
      <c r="P22" s="57"/>
      <c r="Q22" s="57"/>
      <c r="R22" s="57"/>
      <c r="S22" s="57"/>
    </row>
    <row r="23" ht="15.75" spans="1:19">
      <c r="A23" s="58" t="s">
        <v>780</v>
      </c>
      <c r="B23" s="59"/>
      <c r="C23" s="59"/>
      <c r="D23" s="59"/>
      <c r="E23" s="59"/>
      <c r="F23" s="59"/>
      <c r="G23" s="59"/>
      <c r="H23" s="59"/>
      <c r="I23" s="59"/>
      <c r="J23" s="60"/>
      <c r="K23" s="65"/>
      <c r="L23" s="57"/>
      <c r="M23" s="57"/>
      <c r="N23" s="57"/>
      <c r="O23" s="57"/>
      <c r="P23" s="57"/>
      <c r="Q23" s="57"/>
      <c r="R23" s="57"/>
      <c r="S23" s="57"/>
    </row>
    <row r="24" ht="15.75" customHeight="1" spans="1:19">
      <c r="A24" s="54">
        <v>529</v>
      </c>
      <c r="B24" s="54">
        <v>1</v>
      </c>
      <c r="C24" s="54">
        <v>300</v>
      </c>
      <c r="D24" s="54">
        <v>36</v>
      </c>
      <c r="E24" s="54">
        <v>300</v>
      </c>
      <c r="F24" s="61">
        <v>81</v>
      </c>
      <c r="G24" s="61">
        <v>131</v>
      </c>
      <c r="H24" s="61">
        <v>221</v>
      </c>
      <c r="I24" s="61">
        <v>281</v>
      </c>
      <c r="J24" s="62">
        <v>300</v>
      </c>
      <c r="K24" s="63"/>
      <c r="L24" s="64"/>
      <c r="M24" s="64"/>
      <c r="N24" s="64"/>
      <c r="O24" s="64"/>
      <c r="P24" s="64"/>
      <c r="Q24" s="64"/>
      <c r="R24" s="64"/>
      <c r="S24" s="64"/>
    </row>
    <row r="25" ht="15.75" spans="1:19">
      <c r="A25" s="54">
        <v>548</v>
      </c>
      <c r="B25" s="54">
        <v>2</v>
      </c>
      <c r="C25" s="54">
        <v>600</v>
      </c>
      <c r="D25" s="54">
        <v>18</v>
      </c>
      <c r="E25" s="54">
        <v>300</v>
      </c>
      <c r="F25" s="61">
        <v>62</v>
      </c>
      <c r="G25" s="61">
        <v>112</v>
      </c>
      <c r="H25" s="61">
        <v>202</v>
      </c>
      <c r="I25" s="61">
        <v>262</v>
      </c>
      <c r="J25" s="62">
        <v>300</v>
      </c>
      <c r="K25" s="65"/>
      <c r="L25" s="57"/>
      <c r="M25" s="57"/>
      <c r="N25" s="57"/>
      <c r="O25" s="57"/>
      <c r="P25" s="57"/>
      <c r="Q25" s="57"/>
      <c r="R25" s="57"/>
      <c r="S25" s="57"/>
    </row>
    <row r="26" ht="15.75" spans="1:19">
      <c r="A26" s="54">
        <v>565</v>
      </c>
      <c r="B26" s="54">
        <v>3</v>
      </c>
      <c r="C26" s="54">
        <v>1200</v>
      </c>
      <c r="D26" s="54">
        <v>8</v>
      </c>
      <c r="E26" s="54">
        <v>300</v>
      </c>
      <c r="F26" s="61">
        <v>45</v>
      </c>
      <c r="G26" s="61">
        <v>95</v>
      </c>
      <c r="H26" s="61">
        <v>185</v>
      </c>
      <c r="I26" s="61">
        <v>245</v>
      </c>
      <c r="J26" s="62">
        <v>300</v>
      </c>
      <c r="K26" s="65"/>
      <c r="L26" s="57"/>
      <c r="M26" s="57"/>
      <c r="N26" s="57"/>
      <c r="O26" s="57"/>
      <c r="P26" s="57"/>
      <c r="Q26" s="57"/>
      <c r="R26" s="57"/>
      <c r="S26" s="57"/>
    </row>
    <row r="27" ht="15.75" spans="1:19">
      <c r="A27" s="54">
        <v>577</v>
      </c>
      <c r="B27" s="54">
        <v>4</v>
      </c>
      <c r="C27" s="54">
        <v>3000</v>
      </c>
      <c r="D27" s="54">
        <v>3</v>
      </c>
      <c r="E27" s="54">
        <v>300</v>
      </c>
      <c r="F27" s="61">
        <v>33</v>
      </c>
      <c r="G27" s="61">
        <v>83</v>
      </c>
      <c r="H27" s="61">
        <v>173</v>
      </c>
      <c r="I27" s="61">
        <v>233</v>
      </c>
      <c r="J27" s="62">
        <v>300</v>
      </c>
      <c r="K27" s="65"/>
      <c r="L27" s="57"/>
      <c r="M27" s="57"/>
      <c r="N27" s="57"/>
      <c r="O27" s="57"/>
      <c r="P27" s="57"/>
      <c r="Q27" s="57"/>
      <c r="R27" s="57"/>
      <c r="S27" s="57"/>
    </row>
    <row r="28" ht="15.75" spans="1:19">
      <c r="A28" s="54">
        <v>587</v>
      </c>
      <c r="B28" s="54">
        <v>5</v>
      </c>
      <c r="C28" s="54">
        <v>7000</v>
      </c>
      <c r="D28" s="54">
        <v>2</v>
      </c>
      <c r="E28" s="54">
        <v>300</v>
      </c>
      <c r="F28" s="61">
        <v>23</v>
      </c>
      <c r="G28" s="61">
        <v>73</v>
      </c>
      <c r="H28" s="61">
        <v>163</v>
      </c>
      <c r="I28" s="61">
        <v>223</v>
      </c>
      <c r="J28" s="62">
        <v>300</v>
      </c>
      <c r="K28" s="65"/>
      <c r="L28" s="57"/>
      <c r="M28" s="57"/>
      <c r="N28" s="57"/>
      <c r="O28" s="57"/>
      <c r="P28" s="57"/>
      <c r="Q28" s="57"/>
      <c r="R28" s="57"/>
      <c r="S28" s="57"/>
    </row>
    <row r="29" ht="15.75" spans="1:19">
      <c r="A29" s="54">
        <v>589</v>
      </c>
      <c r="B29" s="54">
        <v>6</v>
      </c>
      <c r="C29" s="54" t="s">
        <v>711</v>
      </c>
      <c r="D29" s="54">
        <v>0</v>
      </c>
      <c r="E29" s="54">
        <v>300</v>
      </c>
      <c r="F29" s="61">
        <v>21</v>
      </c>
      <c r="G29" s="61">
        <v>71</v>
      </c>
      <c r="H29" s="61">
        <v>161</v>
      </c>
      <c r="I29" s="61">
        <v>221</v>
      </c>
      <c r="J29" s="62">
        <v>300</v>
      </c>
      <c r="K29" s="65"/>
      <c r="L29" s="57"/>
      <c r="M29" s="57"/>
      <c r="N29" s="57"/>
      <c r="O29" s="57"/>
      <c r="P29" s="57"/>
      <c r="Q29" s="57"/>
      <c r="R29" s="57"/>
      <c r="S29" s="57"/>
    </row>
    <row r="30" ht="15.75" spans="1:19">
      <c r="A30" s="58" t="s">
        <v>781</v>
      </c>
      <c r="B30" s="59"/>
      <c r="C30" s="59"/>
      <c r="D30" s="59"/>
      <c r="E30" s="59"/>
      <c r="F30" s="59"/>
      <c r="G30" s="59"/>
      <c r="H30" s="59"/>
      <c r="I30" s="59"/>
      <c r="J30" s="60"/>
      <c r="K30" s="65"/>
      <c r="L30" s="57"/>
      <c r="M30" s="57"/>
      <c r="N30" s="57"/>
      <c r="O30" s="57"/>
      <c r="P30" s="57"/>
      <c r="Q30" s="57"/>
      <c r="R30" s="57"/>
      <c r="S30" s="57"/>
    </row>
    <row r="31" ht="15.75" customHeight="1" spans="1:19">
      <c r="A31" s="54">
        <v>376</v>
      </c>
      <c r="B31" s="54">
        <v>1</v>
      </c>
      <c r="C31" s="54" t="s">
        <v>715</v>
      </c>
      <c r="D31" s="54">
        <v>30.5</v>
      </c>
      <c r="E31" s="54">
        <v>370</v>
      </c>
      <c r="F31" s="61">
        <v>234</v>
      </c>
      <c r="G31" s="61">
        <v>284</v>
      </c>
      <c r="H31" s="61">
        <v>374</v>
      </c>
      <c r="I31" s="61">
        <v>434</v>
      </c>
      <c r="J31" s="62">
        <v>390</v>
      </c>
      <c r="K31" s="63"/>
      <c r="L31" s="64"/>
      <c r="M31" s="64"/>
      <c r="N31" s="64"/>
      <c r="O31" s="64"/>
      <c r="P31" s="64"/>
      <c r="Q31" s="64"/>
      <c r="R31" s="64"/>
      <c r="S31" s="64"/>
    </row>
    <row r="32" ht="15.75" spans="1:19">
      <c r="A32" s="54">
        <v>400</v>
      </c>
      <c r="B32" s="54">
        <v>2</v>
      </c>
      <c r="C32" s="54" t="s">
        <v>717</v>
      </c>
      <c r="D32" s="54">
        <v>23.8</v>
      </c>
      <c r="E32" s="54">
        <v>390</v>
      </c>
      <c r="F32" s="61">
        <v>210</v>
      </c>
      <c r="G32" s="61">
        <v>260</v>
      </c>
      <c r="H32" s="61">
        <v>350</v>
      </c>
      <c r="I32" s="61">
        <v>410</v>
      </c>
      <c r="J32" s="62">
        <v>390</v>
      </c>
      <c r="K32" s="65"/>
      <c r="L32" s="57"/>
      <c r="M32" s="57"/>
      <c r="N32" s="57"/>
      <c r="O32" s="57"/>
      <c r="P32" s="57"/>
      <c r="Q32" s="57"/>
      <c r="R32" s="57"/>
      <c r="S32" s="57"/>
    </row>
    <row r="33" ht="15.75" spans="1:19">
      <c r="A33" s="54">
        <v>422</v>
      </c>
      <c r="B33" s="54">
        <v>3</v>
      </c>
      <c r="C33" s="54" t="s">
        <v>718</v>
      </c>
      <c r="D33" s="54">
        <v>17</v>
      </c>
      <c r="E33" s="54">
        <v>390</v>
      </c>
      <c r="F33" s="61">
        <v>188</v>
      </c>
      <c r="G33" s="61">
        <v>238</v>
      </c>
      <c r="H33" s="61">
        <v>328</v>
      </c>
      <c r="I33" s="61">
        <v>388</v>
      </c>
      <c r="J33" s="62">
        <v>390</v>
      </c>
      <c r="K33" s="65"/>
      <c r="L33" s="57"/>
      <c r="M33" s="57"/>
      <c r="N33" s="57"/>
      <c r="O33" s="57"/>
      <c r="P33" s="57"/>
      <c r="Q33" s="57"/>
      <c r="R33" s="57"/>
      <c r="S33" s="57"/>
    </row>
    <row r="34" ht="15.75" spans="1:19">
      <c r="A34" s="54">
        <v>440</v>
      </c>
      <c r="B34" s="54">
        <v>4</v>
      </c>
      <c r="C34" s="54" t="s">
        <v>719</v>
      </c>
      <c r="D34" s="54">
        <v>10.2</v>
      </c>
      <c r="E34" s="54">
        <v>390</v>
      </c>
      <c r="F34" s="61">
        <v>170</v>
      </c>
      <c r="G34" s="61">
        <v>220</v>
      </c>
      <c r="H34" s="61">
        <v>310</v>
      </c>
      <c r="I34" s="61">
        <v>370</v>
      </c>
      <c r="J34" s="62">
        <v>390</v>
      </c>
      <c r="K34" s="65"/>
      <c r="L34" s="57"/>
      <c r="M34" s="57"/>
      <c r="N34" s="57"/>
      <c r="O34" s="57"/>
      <c r="P34" s="57"/>
      <c r="Q34" s="57"/>
      <c r="R34" s="57"/>
      <c r="S34" s="57"/>
    </row>
    <row r="35" ht="15.75" spans="1:19">
      <c r="A35" s="54">
        <v>454</v>
      </c>
      <c r="B35" s="54">
        <v>5</v>
      </c>
      <c r="C35" s="54" t="s">
        <v>720</v>
      </c>
      <c r="D35" s="54">
        <v>3.4</v>
      </c>
      <c r="E35" s="54">
        <v>390</v>
      </c>
      <c r="F35" s="61">
        <v>156</v>
      </c>
      <c r="G35" s="61">
        <v>206</v>
      </c>
      <c r="H35" s="61">
        <v>296</v>
      </c>
      <c r="I35" s="61">
        <v>356</v>
      </c>
      <c r="J35" s="62">
        <v>390</v>
      </c>
      <c r="K35" s="65"/>
      <c r="L35" s="57"/>
      <c r="M35" s="57"/>
      <c r="N35" s="57"/>
      <c r="O35" s="57"/>
      <c r="P35" s="57"/>
      <c r="Q35" s="57"/>
      <c r="R35" s="57"/>
      <c r="S35" s="57"/>
    </row>
    <row r="36" ht="15.75" spans="1:19">
      <c r="A36" s="54">
        <v>460</v>
      </c>
      <c r="B36" s="54">
        <v>6</v>
      </c>
      <c r="C36" s="54" t="s">
        <v>721</v>
      </c>
      <c r="D36" s="54">
        <v>0</v>
      </c>
      <c r="E36" s="54">
        <v>400</v>
      </c>
      <c r="F36" s="61">
        <v>150</v>
      </c>
      <c r="G36" s="61">
        <v>200</v>
      </c>
      <c r="H36" s="61">
        <v>290</v>
      </c>
      <c r="I36" s="61">
        <v>350</v>
      </c>
      <c r="J36" s="62">
        <v>390</v>
      </c>
      <c r="K36" s="65"/>
      <c r="L36" s="57"/>
      <c r="M36" s="57"/>
      <c r="N36" s="57"/>
      <c r="O36" s="57"/>
      <c r="P36" s="57"/>
      <c r="Q36" s="57"/>
      <c r="R36" s="57"/>
      <c r="S36" s="57"/>
    </row>
    <row r="37" ht="15.75" spans="1:19">
      <c r="A37" s="58" t="s">
        <v>782</v>
      </c>
      <c r="B37" s="59"/>
      <c r="C37" s="59"/>
      <c r="D37" s="59"/>
      <c r="E37" s="59"/>
      <c r="F37" s="59"/>
      <c r="G37" s="59"/>
      <c r="H37" s="59"/>
      <c r="I37" s="59"/>
      <c r="J37" s="60"/>
      <c r="K37" s="65"/>
      <c r="L37" s="57"/>
      <c r="M37" s="57"/>
      <c r="N37" s="57"/>
      <c r="O37" s="57"/>
      <c r="P37" s="57"/>
      <c r="Q37" s="57"/>
      <c r="R37" s="57"/>
      <c r="S37" s="57"/>
    </row>
    <row r="38" ht="15.75" customHeight="1" spans="1:19">
      <c r="A38" s="54">
        <v>507</v>
      </c>
      <c r="B38" s="54">
        <v>1</v>
      </c>
      <c r="C38" s="54">
        <v>500</v>
      </c>
      <c r="D38" s="54">
        <v>39.5</v>
      </c>
      <c r="E38" s="54">
        <v>400</v>
      </c>
      <c r="F38" s="61">
        <v>103</v>
      </c>
      <c r="G38" s="61">
        <v>153</v>
      </c>
      <c r="H38" s="61">
        <v>243</v>
      </c>
      <c r="I38" s="61">
        <v>303</v>
      </c>
      <c r="J38" s="62">
        <v>400</v>
      </c>
      <c r="K38" s="63"/>
      <c r="L38" s="64"/>
      <c r="M38" s="64"/>
      <c r="N38" s="64"/>
      <c r="O38" s="64"/>
      <c r="P38" s="64"/>
      <c r="Q38" s="64"/>
      <c r="R38" s="64"/>
      <c r="S38" s="64"/>
    </row>
    <row r="39" ht="15.75" spans="1:19">
      <c r="A39" s="54">
        <v>531</v>
      </c>
      <c r="B39" s="54">
        <v>2</v>
      </c>
      <c r="C39" s="54">
        <v>800</v>
      </c>
      <c r="D39" s="54">
        <v>23.5</v>
      </c>
      <c r="E39" s="54">
        <v>400</v>
      </c>
      <c r="F39" s="61">
        <v>79</v>
      </c>
      <c r="G39" s="61">
        <v>129</v>
      </c>
      <c r="H39" s="61">
        <v>219</v>
      </c>
      <c r="I39" s="61">
        <v>279</v>
      </c>
      <c r="J39" s="62">
        <v>400</v>
      </c>
      <c r="K39" s="65"/>
      <c r="L39" s="57"/>
      <c r="M39" s="57"/>
      <c r="N39" s="57"/>
      <c r="O39" s="57"/>
      <c r="P39" s="57"/>
      <c r="Q39" s="57"/>
      <c r="R39" s="57"/>
      <c r="S39" s="57"/>
    </row>
    <row r="40" ht="15.75" spans="1:19">
      <c r="A40" s="54">
        <v>540</v>
      </c>
      <c r="B40" s="54">
        <v>3</v>
      </c>
      <c r="C40" s="54">
        <v>1200</v>
      </c>
      <c r="D40" s="54">
        <v>16</v>
      </c>
      <c r="E40" s="54">
        <v>400</v>
      </c>
      <c r="F40" s="61">
        <v>70</v>
      </c>
      <c r="G40" s="61">
        <v>120</v>
      </c>
      <c r="H40" s="61">
        <v>210</v>
      </c>
      <c r="I40" s="61">
        <v>270</v>
      </c>
      <c r="J40" s="62">
        <v>400</v>
      </c>
      <c r="K40" s="65"/>
      <c r="L40" s="57"/>
      <c r="M40" s="57"/>
      <c r="N40" s="57"/>
      <c r="O40" s="57"/>
      <c r="P40" s="57"/>
      <c r="Q40" s="57"/>
      <c r="R40" s="57"/>
      <c r="S40" s="57"/>
    </row>
    <row r="41" ht="15.75" spans="1:19">
      <c r="A41" s="54">
        <v>560</v>
      </c>
      <c r="B41" s="54">
        <v>4</v>
      </c>
      <c r="C41" s="54">
        <v>1600</v>
      </c>
      <c r="D41" s="54">
        <v>12.5</v>
      </c>
      <c r="E41" s="54">
        <v>400</v>
      </c>
      <c r="F41" s="61">
        <v>50</v>
      </c>
      <c r="G41" s="61">
        <v>100</v>
      </c>
      <c r="H41" s="61">
        <v>190</v>
      </c>
      <c r="I41" s="61">
        <v>250</v>
      </c>
      <c r="J41" s="62">
        <v>400</v>
      </c>
      <c r="K41" s="65"/>
      <c r="L41" s="57"/>
      <c r="M41" s="57"/>
      <c r="N41" s="57"/>
      <c r="O41" s="57"/>
      <c r="P41" s="57"/>
      <c r="Q41" s="57"/>
      <c r="R41" s="57"/>
      <c r="S41" s="57"/>
    </row>
    <row r="42" ht="15.75" spans="1:19">
      <c r="A42" s="54">
        <v>580</v>
      </c>
      <c r="B42" s="54">
        <v>5</v>
      </c>
      <c r="C42" s="54">
        <v>4000</v>
      </c>
      <c r="D42" s="54">
        <v>5</v>
      </c>
      <c r="E42" s="54">
        <v>400</v>
      </c>
      <c r="F42" s="61">
        <v>30</v>
      </c>
      <c r="G42" s="61">
        <v>80</v>
      </c>
      <c r="H42" s="61">
        <v>170</v>
      </c>
      <c r="I42" s="61">
        <v>230</v>
      </c>
      <c r="J42" s="62">
        <v>400</v>
      </c>
      <c r="K42" s="65"/>
      <c r="L42" s="57"/>
      <c r="M42" s="57"/>
      <c r="N42" s="57"/>
      <c r="O42" s="57"/>
      <c r="P42" s="57"/>
      <c r="Q42" s="57"/>
      <c r="R42" s="57"/>
      <c r="S42" s="57"/>
    </row>
    <row r="43" ht="15.75" spans="1:19">
      <c r="A43" s="54">
        <v>590</v>
      </c>
      <c r="B43" s="54">
        <v>6</v>
      </c>
      <c r="C43" s="54" t="s">
        <v>711</v>
      </c>
      <c r="D43" s="54">
        <v>0</v>
      </c>
      <c r="E43" s="54">
        <v>400</v>
      </c>
      <c r="F43" s="61">
        <v>20</v>
      </c>
      <c r="G43" s="61">
        <v>70</v>
      </c>
      <c r="H43" s="61">
        <v>160</v>
      </c>
      <c r="I43" s="61">
        <v>220</v>
      </c>
      <c r="J43" s="62">
        <v>400</v>
      </c>
      <c r="K43" s="65"/>
      <c r="L43" s="57"/>
      <c r="M43" s="57"/>
      <c r="N43" s="57"/>
      <c r="O43" s="57"/>
      <c r="P43" s="57"/>
      <c r="Q43" s="57"/>
      <c r="R43" s="57"/>
      <c r="S43" s="57"/>
    </row>
  </sheetData>
  <mergeCells count="6">
    <mergeCell ref="A2:J2"/>
    <mergeCell ref="A9:J9"/>
    <mergeCell ref="A16:J16"/>
    <mergeCell ref="A23:J23"/>
    <mergeCell ref="A30:J30"/>
    <mergeCell ref="A37:J3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P50"/>
  <sheetViews>
    <sheetView workbookViewId="0">
      <selection activeCell="N6" sqref="N6:N50"/>
    </sheetView>
  </sheetViews>
  <sheetFormatPr defaultColWidth="9" defaultRowHeight="12.75"/>
  <cols>
    <col min="5" max="6" width="6.71111111111111" customWidth="1"/>
    <col min="9" max="9" width="7.14444444444444" customWidth="1"/>
    <col min="10" max="10" width="6" customWidth="1"/>
  </cols>
  <sheetData>
    <row r="3" spans="2:42">
      <c r="N3" t="s">
        <v>783</v>
      </c>
    </row>
    <row r="4" ht="13.5" spans="2:42">
      <c r="S4">
        <f>S6-20</f>
        <v>890</v>
      </c>
      <c r="U4">
        <f>U6-20</f>
        <v>870</v>
      </c>
      <c r="W4">
        <f>W6-20</f>
        <v>840</v>
      </c>
      <c r="Y4">
        <f>Y6-20</f>
        <v>810</v>
      </c>
      <c r="AA4">
        <f>AA6-20</f>
        <v>780</v>
      </c>
      <c r="AC4">
        <f>AC6-20</f>
        <v>750</v>
      </c>
      <c r="AE4">
        <f>AE6-20</f>
        <v>720</v>
      </c>
      <c r="AG4">
        <f>AG6-20</f>
        <v>690</v>
      </c>
      <c r="AI4">
        <f>AI6-20</f>
        <v>660</v>
      </c>
      <c r="AK4">
        <f>AK6-20</f>
        <v>630</v>
      </c>
      <c r="AM4">
        <f>AM6-20</f>
        <v>600</v>
      </c>
      <c r="AO4">
        <f>AO6-20</f>
        <v>570</v>
      </c>
    </row>
    <row r="5" ht="15" spans="2:42">
      <c r="B5" s="1"/>
      <c r="C5" s="2" t="s">
        <v>41</v>
      </c>
      <c r="D5" s="3" t="s">
        <v>40</v>
      </c>
      <c r="E5" s="4"/>
      <c r="F5" s="5"/>
      <c r="G5" s="2" t="s">
        <v>41</v>
      </c>
      <c r="H5" s="3" t="s">
        <v>40</v>
      </c>
      <c r="I5" s="6"/>
      <c r="J5" s="5"/>
      <c r="K5" s="2" t="s">
        <v>41</v>
      </c>
      <c r="L5" s="3" t="s">
        <v>40</v>
      </c>
      <c r="R5" s="1"/>
      <c r="S5" s="2" t="s">
        <v>41</v>
      </c>
      <c r="T5" s="3" t="s">
        <v>40</v>
      </c>
      <c r="U5" s="2" t="s">
        <v>41</v>
      </c>
      <c r="V5" s="3" t="s">
        <v>40</v>
      </c>
      <c r="W5" s="2" t="s">
        <v>41</v>
      </c>
      <c r="X5" s="3" t="s">
        <v>40</v>
      </c>
      <c r="Y5" s="2" t="s">
        <v>41</v>
      </c>
      <c r="Z5" s="3" t="s">
        <v>40</v>
      </c>
      <c r="AA5" s="2" t="s">
        <v>41</v>
      </c>
      <c r="AB5" s="3" t="s">
        <v>40</v>
      </c>
      <c r="AC5" s="2" t="s">
        <v>41</v>
      </c>
      <c r="AD5" s="3" t="s">
        <v>40</v>
      </c>
      <c r="AE5" s="2" t="s">
        <v>41</v>
      </c>
      <c r="AF5" s="3" t="s">
        <v>40</v>
      </c>
      <c r="AG5" s="2" t="s">
        <v>41</v>
      </c>
      <c r="AH5" s="3" t="s">
        <v>40</v>
      </c>
      <c r="AI5" s="2" t="s">
        <v>41</v>
      </c>
      <c r="AJ5" s="3" t="s">
        <v>40</v>
      </c>
      <c r="AK5" s="2" t="s">
        <v>41</v>
      </c>
      <c r="AL5" s="3" t="s">
        <v>40</v>
      </c>
      <c r="AM5" s="2" t="s">
        <v>41</v>
      </c>
      <c r="AN5" s="3" t="s">
        <v>40</v>
      </c>
      <c r="AO5" s="2" t="s">
        <v>41</v>
      </c>
      <c r="AP5" s="3" t="s">
        <v>40</v>
      </c>
    </row>
    <row r="6" ht="15" spans="2:42">
      <c r="B6" s="7"/>
      <c r="C6" s="8">
        <v>650</v>
      </c>
      <c r="D6" s="9">
        <v>610</v>
      </c>
      <c r="E6" s="10"/>
      <c r="F6" s="11"/>
      <c r="G6" s="8">
        <v>620</v>
      </c>
      <c r="H6" s="9">
        <v>580</v>
      </c>
      <c r="I6" s="10"/>
      <c r="J6" s="11"/>
      <c r="K6" s="8">
        <v>590</v>
      </c>
      <c r="L6" s="9">
        <v>550</v>
      </c>
      <c r="N6">
        <v>0</v>
      </c>
      <c r="R6" s="7"/>
      <c r="S6" s="8">
        <f>U6+20</f>
        <v>910</v>
      </c>
      <c r="T6" s="9">
        <f>S6-40</f>
        <v>870</v>
      </c>
      <c r="U6" s="8">
        <f>W6+30</f>
        <v>890</v>
      </c>
      <c r="V6" s="9">
        <f>U6-40</f>
        <v>850</v>
      </c>
      <c r="W6" s="8">
        <f>Y6+30</f>
        <v>860</v>
      </c>
      <c r="X6" s="9">
        <f>W6-40</f>
        <v>820</v>
      </c>
      <c r="Y6" s="8">
        <f>AA6+30</f>
        <v>830</v>
      </c>
      <c r="Z6" s="9">
        <f>Y6-40</f>
        <v>790</v>
      </c>
      <c r="AA6" s="8">
        <f>AC6+30</f>
        <v>800</v>
      </c>
      <c r="AB6" s="9">
        <f>AA6-40</f>
        <v>760</v>
      </c>
      <c r="AC6" s="8">
        <f>AE6+30</f>
        <v>770</v>
      </c>
      <c r="AD6" s="9">
        <f>AC6-40</f>
        <v>730</v>
      </c>
      <c r="AE6" s="8">
        <f>AG6+30</f>
        <v>740</v>
      </c>
      <c r="AF6" s="9">
        <f>AE6-40</f>
        <v>700</v>
      </c>
      <c r="AG6" s="8">
        <f>AI6+30</f>
        <v>710</v>
      </c>
      <c r="AH6" s="9">
        <f>AG6-40</f>
        <v>670</v>
      </c>
      <c r="AI6" s="8">
        <f>650+30</f>
        <v>680</v>
      </c>
      <c r="AJ6" s="9">
        <f>AI6-40</f>
        <v>640</v>
      </c>
      <c r="AK6" s="8">
        <v>650</v>
      </c>
      <c r="AL6" s="9">
        <v>610</v>
      </c>
      <c r="AM6" s="8">
        <v>620</v>
      </c>
      <c r="AN6" s="9">
        <v>580</v>
      </c>
      <c r="AO6" s="8">
        <v>590</v>
      </c>
      <c r="AP6" s="9">
        <v>550</v>
      </c>
    </row>
    <row r="7" ht="13.5" spans="2:42">
      <c r="B7" s="12">
        <v>1</v>
      </c>
      <c r="C7" s="13">
        <v>2</v>
      </c>
      <c r="D7" s="14">
        <v>3</v>
      </c>
      <c r="E7" s="15">
        <v>4</v>
      </c>
      <c r="F7" s="16">
        <v>5</v>
      </c>
      <c r="G7" s="13">
        <v>6</v>
      </c>
      <c r="H7" s="14">
        <v>7</v>
      </c>
      <c r="I7" s="15">
        <v>8</v>
      </c>
      <c r="J7" s="16">
        <v>9</v>
      </c>
      <c r="K7" s="13">
        <v>10</v>
      </c>
      <c r="L7" s="14">
        <v>11</v>
      </c>
      <c r="N7">
        <v>33</v>
      </c>
      <c r="R7" s="12">
        <v>1</v>
      </c>
      <c r="S7" s="13">
        <v>2</v>
      </c>
      <c r="T7" s="14">
        <v>3</v>
      </c>
      <c r="U7" s="13">
        <v>2</v>
      </c>
      <c r="V7" s="14">
        <v>3</v>
      </c>
      <c r="W7" s="13">
        <v>2</v>
      </c>
      <c r="X7" s="14">
        <v>3</v>
      </c>
      <c r="Y7" s="13">
        <v>2</v>
      </c>
      <c r="Z7" s="14">
        <v>3</v>
      </c>
      <c r="AA7" s="13">
        <v>2</v>
      </c>
      <c r="AB7" s="14">
        <v>3</v>
      </c>
      <c r="AC7" s="13">
        <v>2</v>
      </c>
      <c r="AD7" s="14">
        <v>3</v>
      </c>
      <c r="AE7" s="13">
        <v>2</v>
      </c>
      <c r="AF7" s="14">
        <v>3</v>
      </c>
      <c r="AG7" s="13">
        <v>2</v>
      </c>
      <c r="AH7" s="14">
        <v>3</v>
      </c>
      <c r="AI7" s="13">
        <v>2</v>
      </c>
      <c r="AJ7" s="14">
        <v>3</v>
      </c>
      <c r="AK7" s="13">
        <v>2</v>
      </c>
      <c r="AL7" s="14">
        <v>3</v>
      </c>
      <c r="AM7" s="13">
        <v>6</v>
      </c>
      <c r="AN7" s="14">
        <v>7</v>
      </c>
      <c r="AO7" s="13">
        <v>10</v>
      </c>
      <c r="AP7" s="14">
        <v>11</v>
      </c>
    </row>
    <row r="8" ht="15" spans="2:42">
      <c r="B8" s="17">
        <v>360</v>
      </c>
      <c r="C8" s="18">
        <v>290</v>
      </c>
      <c r="D8" s="19">
        <v>250</v>
      </c>
      <c r="E8" s="20"/>
      <c r="F8" s="21"/>
      <c r="G8" s="18">
        <v>260</v>
      </c>
      <c r="H8" s="19">
        <v>220</v>
      </c>
      <c r="I8" s="20"/>
      <c r="J8" s="21"/>
      <c r="K8" s="18">
        <v>230</v>
      </c>
      <c r="L8" s="19">
        <v>190</v>
      </c>
      <c r="N8">
        <v>38</v>
      </c>
      <c r="R8" s="17">
        <v>360</v>
      </c>
      <c r="S8" s="18">
        <f>$U$6-P8</f>
        <v>890</v>
      </c>
      <c r="T8" s="18">
        <f>$V$6-P8</f>
        <v>850</v>
      </c>
      <c r="U8" s="18">
        <f>$U$6-R8</f>
        <v>530</v>
      </c>
      <c r="V8" s="18">
        <f>$V$6-R8</f>
        <v>490</v>
      </c>
      <c r="W8" s="18">
        <f>$W$6-R8</f>
        <v>500</v>
      </c>
      <c r="X8" s="18">
        <f>$X$6-R8</f>
        <v>460</v>
      </c>
      <c r="Y8" s="18">
        <f t="shared" ref="Y8:Y17" si="0">$Y$6-R8</f>
        <v>470</v>
      </c>
      <c r="Z8" s="18">
        <f>$Z$6-R8</f>
        <v>430</v>
      </c>
      <c r="AA8" s="18">
        <f>$AA$6-R8</f>
        <v>440</v>
      </c>
      <c r="AB8" s="18">
        <f>$AB$6-R8</f>
        <v>400</v>
      </c>
      <c r="AC8" s="18">
        <f t="shared" ref="AC8:AC17" si="1">$AC$6-R8</f>
        <v>410</v>
      </c>
      <c r="AD8" s="18">
        <f>$AD$6-R8</f>
        <v>370</v>
      </c>
      <c r="AE8" s="18">
        <f>$AE$6-R8</f>
        <v>380</v>
      </c>
      <c r="AF8" s="18">
        <f>$AF$6-R8</f>
        <v>340</v>
      </c>
      <c r="AG8" s="18">
        <f t="shared" ref="AG8:AG17" si="2">$AG$6-R8</f>
        <v>350</v>
      </c>
      <c r="AH8" s="18">
        <f>$AH$6-R8</f>
        <v>310</v>
      </c>
      <c r="AI8" s="18">
        <f>$AI$6-R8</f>
        <v>320</v>
      </c>
      <c r="AJ8" s="18">
        <f>$AJ$6-R8</f>
        <v>280</v>
      </c>
      <c r="AK8" s="18">
        <v>290</v>
      </c>
      <c r="AL8" s="19">
        <v>250</v>
      </c>
      <c r="AM8" s="18">
        <v>260</v>
      </c>
      <c r="AN8" s="19">
        <v>220</v>
      </c>
      <c r="AO8" s="18">
        <v>230</v>
      </c>
      <c r="AP8" s="19">
        <v>190</v>
      </c>
    </row>
    <row r="9" ht="15" spans="2:42">
      <c r="B9" s="22">
        <v>365</v>
      </c>
      <c r="C9" s="23">
        <v>285</v>
      </c>
      <c r="D9" s="24">
        <v>245</v>
      </c>
      <c r="E9" s="25"/>
      <c r="F9" s="26"/>
      <c r="G9" s="23">
        <v>255</v>
      </c>
      <c r="H9" s="24">
        <v>215</v>
      </c>
      <c r="I9" s="25"/>
      <c r="J9" s="26"/>
      <c r="K9" s="23">
        <v>225</v>
      </c>
      <c r="L9" s="24">
        <v>185</v>
      </c>
      <c r="N9">
        <v>42</v>
      </c>
      <c r="R9" s="22">
        <v>365</v>
      </c>
      <c r="S9" s="18">
        <f t="shared" ref="S9:U17" si="3">$U$6-P9</f>
        <v>890</v>
      </c>
      <c r="T9" s="18">
        <f t="shared" ref="T9:T17" si="4">$V$6-P9</f>
        <v>850</v>
      </c>
      <c r="U9" s="18">
        <f t="shared" si="3"/>
        <v>525</v>
      </c>
      <c r="V9" s="18">
        <f t="shared" ref="V9:V17" si="5">$V$6-R9</f>
        <v>485</v>
      </c>
      <c r="W9" s="18">
        <f t="shared" ref="W9:W17" si="6">$W$6-R9</f>
        <v>495</v>
      </c>
      <c r="X9" s="18">
        <f t="shared" ref="X9:X17" si="7">$X$6-R9</f>
        <v>455</v>
      </c>
      <c r="Y9" s="18">
        <f t="shared" si="0"/>
        <v>465</v>
      </c>
      <c r="Z9" s="18">
        <f t="shared" ref="Z9:Z17" si="8">$Z$6-R9</f>
        <v>425</v>
      </c>
      <c r="AA9" s="18">
        <f t="shared" ref="AA9:AA17" si="9">$AA$6-R9</f>
        <v>435</v>
      </c>
      <c r="AB9" s="18">
        <f t="shared" ref="AB9:AB17" si="10">$AB$6-R9</f>
        <v>395</v>
      </c>
      <c r="AC9" s="18">
        <f t="shared" si="1"/>
        <v>405</v>
      </c>
      <c r="AD9" s="18">
        <f t="shared" ref="AD9:AD17" si="11">$AD$6-R9</f>
        <v>365</v>
      </c>
      <c r="AE9" s="18">
        <f t="shared" ref="AE9:AE17" si="12">$AE$6-R9</f>
        <v>375</v>
      </c>
      <c r="AF9" s="18">
        <f t="shared" ref="AF9:AF17" si="13">$AF$6-R9</f>
        <v>335</v>
      </c>
      <c r="AG9" s="18">
        <f t="shared" si="2"/>
        <v>345</v>
      </c>
      <c r="AH9" s="18">
        <f t="shared" ref="AH9:AH17" si="14">$AH$6-R9</f>
        <v>305</v>
      </c>
      <c r="AI9" s="18">
        <f t="shared" ref="AI9:AI17" si="15">$AI$6-R9</f>
        <v>315</v>
      </c>
      <c r="AJ9" s="18">
        <f t="shared" ref="AJ9:AJ17" si="16">$AJ$6-R9</f>
        <v>275</v>
      </c>
      <c r="AK9" s="23">
        <v>285</v>
      </c>
      <c r="AL9" s="24">
        <v>245</v>
      </c>
      <c r="AM9" s="23">
        <v>255</v>
      </c>
      <c r="AN9" s="24">
        <v>215</v>
      </c>
      <c r="AO9" s="23">
        <v>225</v>
      </c>
      <c r="AP9" s="24">
        <v>185</v>
      </c>
    </row>
    <row r="10" ht="15" spans="2:42">
      <c r="B10" s="27">
        <v>410</v>
      </c>
      <c r="C10" s="28">
        <v>240</v>
      </c>
      <c r="D10" s="29">
        <v>200</v>
      </c>
      <c r="E10" s="30"/>
      <c r="F10" s="31"/>
      <c r="G10" s="28">
        <v>210</v>
      </c>
      <c r="H10" s="29">
        <v>170</v>
      </c>
      <c r="I10" s="30"/>
      <c r="J10" s="31"/>
      <c r="K10" s="28">
        <v>180</v>
      </c>
      <c r="L10" s="29">
        <v>140</v>
      </c>
      <c r="N10">
        <v>45</v>
      </c>
      <c r="R10" s="27">
        <v>410</v>
      </c>
      <c r="S10" s="18">
        <f t="shared" si="3"/>
        <v>890</v>
      </c>
      <c r="T10" s="18">
        <f t="shared" si="4"/>
        <v>850</v>
      </c>
      <c r="U10" s="18">
        <f t="shared" si="3"/>
        <v>480</v>
      </c>
      <c r="V10" s="18">
        <f t="shared" si="5"/>
        <v>440</v>
      </c>
      <c r="W10" s="18">
        <f t="shared" si="6"/>
        <v>450</v>
      </c>
      <c r="X10" s="18">
        <f t="shared" si="7"/>
        <v>410</v>
      </c>
      <c r="Y10" s="18">
        <f t="shared" si="0"/>
        <v>420</v>
      </c>
      <c r="Z10" s="18">
        <f t="shared" si="8"/>
        <v>380</v>
      </c>
      <c r="AA10" s="18">
        <f t="shared" si="9"/>
        <v>390</v>
      </c>
      <c r="AB10" s="18">
        <f t="shared" si="10"/>
        <v>350</v>
      </c>
      <c r="AC10" s="18">
        <f t="shared" si="1"/>
        <v>360</v>
      </c>
      <c r="AD10" s="18">
        <f t="shared" si="11"/>
        <v>320</v>
      </c>
      <c r="AE10" s="18">
        <f t="shared" si="12"/>
        <v>330</v>
      </c>
      <c r="AF10" s="18">
        <f t="shared" si="13"/>
        <v>290</v>
      </c>
      <c r="AG10" s="18">
        <f t="shared" si="2"/>
        <v>300</v>
      </c>
      <c r="AH10" s="18">
        <f t="shared" si="14"/>
        <v>260</v>
      </c>
      <c r="AI10" s="18">
        <f t="shared" si="15"/>
        <v>270</v>
      </c>
      <c r="AJ10" s="18">
        <f t="shared" si="16"/>
        <v>230</v>
      </c>
      <c r="AK10" s="28">
        <v>240</v>
      </c>
      <c r="AL10" s="29">
        <v>200</v>
      </c>
      <c r="AM10" s="28">
        <v>210</v>
      </c>
      <c r="AN10" s="29">
        <v>170</v>
      </c>
      <c r="AO10" s="28">
        <v>180</v>
      </c>
      <c r="AP10" s="29">
        <v>140</v>
      </c>
    </row>
    <row r="11" ht="15" spans="2:42">
      <c r="B11" s="27">
        <v>430</v>
      </c>
      <c r="C11" s="28">
        <v>220</v>
      </c>
      <c r="D11" s="29">
        <v>180</v>
      </c>
      <c r="E11" s="30"/>
      <c r="F11" s="31"/>
      <c r="G11" s="28">
        <v>190</v>
      </c>
      <c r="H11" s="29">
        <v>150</v>
      </c>
      <c r="I11" s="30"/>
      <c r="J11" s="31"/>
      <c r="K11" s="28">
        <v>160</v>
      </c>
      <c r="L11" s="29">
        <v>120</v>
      </c>
      <c r="N11">
        <v>48</v>
      </c>
      <c r="R11" s="27">
        <v>430</v>
      </c>
      <c r="S11" s="18">
        <f t="shared" si="3"/>
        <v>890</v>
      </c>
      <c r="T11" s="18">
        <f t="shared" si="4"/>
        <v>850</v>
      </c>
      <c r="U11" s="18">
        <f t="shared" si="3"/>
        <v>460</v>
      </c>
      <c r="V11" s="18">
        <f t="shared" si="5"/>
        <v>420</v>
      </c>
      <c r="W11" s="18">
        <f t="shared" si="6"/>
        <v>430</v>
      </c>
      <c r="X11" s="18">
        <f t="shared" si="7"/>
        <v>390</v>
      </c>
      <c r="Y11" s="18">
        <f t="shared" si="0"/>
        <v>400</v>
      </c>
      <c r="Z11" s="18">
        <f t="shared" si="8"/>
        <v>360</v>
      </c>
      <c r="AA11" s="18">
        <f t="shared" si="9"/>
        <v>370</v>
      </c>
      <c r="AB11" s="18">
        <f t="shared" si="10"/>
        <v>330</v>
      </c>
      <c r="AC11" s="18">
        <f t="shared" si="1"/>
        <v>340</v>
      </c>
      <c r="AD11" s="18">
        <f t="shared" si="11"/>
        <v>300</v>
      </c>
      <c r="AE11" s="18">
        <f t="shared" si="12"/>
        <v>310</v>
      </c>
      <c r="AF11" s="18">
        <f t="shared" si="13"/>
        <v>270</v>
      </c>
      <c r="AG11" s="18">
        <f t="shared" si="2"/>
        <v>280</v>
      </c>
      <c r="AH11" s="18">
        <f t="shared" si="14"/>
        <v>240</v>
      </c>
      <c r="AI11" s="18">
        <f t="shared" si="15"/>
        <v>250</v>
      </c>
      <c r="AJ11" s="18">
        <f t="shared" si="16"/>
        <v>210</v>
      </c>
      <c r="AK11" s="28">
        <v>220</v>
      </c>
      <c r="AL11" s="29">
        <v>180</v>
      </c>
      <c r="AM11" s="28">
        <v>190</v>
      </c>
      <c r="AN11" s="29">
        <v>150</v>
      </c>
      <c r="AO11" s="28">
        <v>160</v>
      </c>
      <c r="AP11" s="29">
        <v>120</v>
      </c>
    </row>
    <row r="12" ht="15" spans="2:42">
      <c r="B12" s="27">
        <v>435</v>
      </c>
      <c r="C12" s="28">
        <v>215</v>
      </c>
      <c r="D12" s="29">
        <v>175</v>
      </c>
      <c r="E12" s="30"/>
      <c r="F12" s="31"/>
      <c r="G12" s="28">
        <v>185</v>
      </c>
      <c r="H12" s="29">
        <v>145</v>
      </c>
      <c r="I12" s="30"/>
      <c r="J12" s="31"/>
      <c r="K12" s="28">
        <v>155</v>
      </c>
      <c r="L12" s="29">
        <v>115</v>
      </c>
      <c r="N12">
        <v>51</v>
      </c>
      <c r="R12" s="27">
        <v>435</v>
      </c>
      <c r="S12" s="18">
        <f t="shared" si="3"/>
        <v>890</v>
      </c>
      <c r="T12" s="18">
        <f t="shared" si="4"/>
        <v>850</v>
      </c>
      <c r="U12" s="18">
        <f t="shared" si="3"/>
        <v>455</v>
      </c>
      <c r="V12" s="18">
        <f t="shared" si="5"/>
        <v>415</v>
      </c>
      <c r="W12" s="18">
        <f t="shared" si="6"/>
        <v>425</v>
      </c>
      <c r="X12" s="18">
        <f t="shared" si="7"/>
        <v>385</v>
      </c>
      <c r="Y12" s="18">
        <f t="shared" si="0"/>
        <v>395</v>
      </c>
      <c r="Z12" s="18">
        <f t="shared" si="8"/>
        <v>355</v>
      </c>
      <c r="AA12" s="18">
        <f t="shared" si="9"/>
        <v>365</v>
      </c>
      <c r="AB12" s="18">
        <f t="shared" si="10"/>
        <v>325</v>
      </c>
      <c r="AC12" s="18">
        <f t="shared" si="1"/>
        <v>335</v>
      </c>
      <c r="AD12" s="18">
        <f t="shared" si="11"/>
        <v>295</v>
      </c>
      <c r="AE12" s="18">
        <f t="shared" si="12"/>
        <v>305</v>
      </c>
      <c r="AF12" s="18">
        <f t="shared" si="13"/>
        <v>265</v>
      </c>
      <c r="AG12" s="18">
        <f t="shared" si="2"/>
        <v>275</v>
      </c>
      <c r="AH12" s="18">
        <f t="shared" si="14"/>
        <v>235</v>
      </c>
      <c r="AI12" s="18">
        <f t="shared" si="15"/>
        <v>245</v>
      </c>
      <c r="AJ12" s="18">
        <f t="shared" si="16"/>
        <v>205</v>
      </c>
      <c r="AK12" s="28">
        <v>215</v>
      </c>
      <c r="AL12" s="29">
        <v>175</v>
      </c>
      <c r="AM12" s="28">
        <v>185</v>
      </c>
      <c r="AN12" s="29">
        <v>145</v>
      </c>
      <c r="AO12" s="28">
        <v>155</v>
      </c>
      <c r="AP12" s="29">
        <v>115</v>
      </c>
    </row>
    <row r="13" ht="15" spans="2:42">
      <c r="B13" s="27">
        <v>440</v>
      </c>
      <c r="C13" s="28">
        <v>210</v>
      </c>
      <c r="D13" s="29">
        <v>170</v>
      </c>
      <c r="E13" s="30"/>
      <c r="F13" s="31"/>
      <c r="G13" s="28">
        <v>180</v>
      </c>
      <c r="H13" s="29">
        <v>140</v>
      </c>
      <c r="I13" s="30"/>
      <c r="J13" s="31"/>
      <c r="K13" s="28">
        <v>150</v>
      </c>
      <c r="L13" s="29">
        <v>110</v>
      </c>
      <c r="N13">
        <v>54</v>
      </c>
      <c r="R13" s="27">
        <v>440</v>
      </c>
      <c r="S13" s="18">
        <f t="shared" si="3"/>
        <v>890</v>
      </c>
      <c r="T13" s="18">
        <f t="shared" si="4"/>
        <v>850</v>
      </c>
      <c r="U13" s="18">
        <f t="shared" si="3"/>
        <v>450</v>
      </c>
      <c r="V13" s="18">
        <f t="shared" si="5"/>
        <v>410</v>
      </c>
      <c r="W13" s="18">
        <f t="shared" si="6"/>
        <v>420</v>
      </c>
      <c r="X13" s="18">
        <f t="shared" si="7"/>
        <v>380</v>
      </c>
      <c r="Y13" s="18">
        <f t="shared" si="0"/>
        <v>390</v>
      </c>
      <c r="Z13" s="18">
        <f t="shared" si="8"/>
        <v>350</v>
      </c>
      <c r="AA13" s="18">
        <f t="shared" si="9"/>
        <v>360</v>
      </c>
      <c r="AB13" s="18">
        <f t="shared" si="10"/>
        <v>320</v>
      </c>
      <c r="AC13" s="18">
        <f t="shared" si="1"/>
        <v>330</v>
      </c>
      <c r="AD13" s="18">
        <f t="shared" si="11"/>
        <v>290</v>
      </c>
      <c r="AE13" s="18">
        <f t="shared" si="12"/>
        <v>300</v>
      </c>
      <c r="AF13" s="18">
        <f t="shared" si="13"/>
        <v>260</v>
      </c>
      <c r="AG13" s="18">
        <f t="shared" si="2"/>
        <v>270</v>
      </c>
      <c r="AH13" s="18">
        <f t="shared" si="14"/>
        <v>230</v>
      </c>
      <c r="AI13" s="18">
        <f t="shared" si="15"/>
        <v>240</v>
      </c>
      <c r="AJ13" s="18">
        <f t="shared" si="16"/>
        <v>200</v>
      </c>
      <c r="AK13" s="28">
        <v>210</v>
      </c>
      <c r="AL13" s="29">
        <v>170</v>
      </c>
      <c r="AM13" s="28">
        <v>180</v>
      </c>
      <c r="AN13" s="29">
        <v>140</v>
      </c>
      <c r="AO13" s="28">
        <v>150</v>
      </c>
      <c r="AP13" s="29">
        <v>110</v>
      </c>
    </row>
    <row r="14" ht="15" spans="2:42">
      <c r="B14" s="27">
        <v>445</v>
      </c>
      <c r="C14" s="28">
        <v>205</v>
      </c>
      <c r="D14" s="29">
        <v>165</v>
      </c>
      <c r="E14" s="30"/>
      <c r="F14" s="31"/>
      <c r="G14" s="28">
        <v>175</v>
      </c>
      <c r="H14" s="29">
        <v>135</v>
      </c>
      <c r="I14" s="30"/>
      <c r="J14" s="31"/>
      <c r="K14" s="28">
        <v>145</v>
      </c>
      <c r="L14" s="29">
        <v>105</v>
      </c>
      <c r="N14">
        <v>57</v>
      </c>
      <c r="R14" s="27">
        <v>445</v>
      </c>
      <c r="S14" s="18">
        <f t="shared" si="3"/>
        <v>890</v>
      </c>
      <c r="T14" s="18">
        <f t="shared" si="4"/>
        <v>850</v>
      </c>
      <c r="U14" s="18">
        <f t="shared" si="3"/>
        <v>445</v>
      </c>
      <c r="V14" s="18">
        <f t="shared" si="5"/>
        <v>405</v>
      </c>
      <c r="W14" s="18">
        <f t="shared" si="6"/>
        <v>415</v>
      </c>
      <c r="X14" s="18">
        <f t="shared" si="7"/>
        <v>375</v>
      </c>
      <c r="Y14" s="18">
        <f t="shared" si="0"/>
        <v>385</v>
      </c>
      <c r="Z14" s="18">
        <f t="shared" si="8"/>
        <v>345</v>
      </c>
      <c r="AA14" s="18">
        <f t="shared" si="9"/>
        <v>355</v>
      </c>
      <c r="AB14" s="18">
        <f t="shared" si="10"/>
        <v>315</v>
      </c>
      <c r="AC14" s="18">
        <f t="shared" si="1"/>
        <v>325</v>
      </c>
      <c r="AD14" s="18">
        <f t="shared" si="11"/>
        <v>285</v>
      </c>
      <c r="AE14" s="18">
        <f t="shared" si="12"/>
        <v>295</v>
      </c>
      <c r="AF14" s="18">
        <f t="shared" si="13"/>
        <v>255</v>
      </c>
      <c r="AG14" s="18">
        <f t="shared" si="2"/>
        <v>265</v>
      </c>
      <c r="AH14" s="18">
        <f t="shared" si="14"/>
        <v>225</v>
      </c>
      <c r="AI14" s="18">
        <f t="shared" si="15"/>
        <v>235</v>
      </c>
      <c r="AJ14" s="18">
        <f t="shared" si="16"/>
        <v>195</v>
      </c>
      <c r="AK14" s="28">
        <v>205</v>
      </c>
      <c r="AL14" s="29">
        <v>165</v>
      </c>
      <c r="AM14" s="28">
        <v>175</v>
      </c>
      <c r="AN14" s="29">
        <v>135</v>
      </c>
      <c r="AO14" s="28">
        <v>145</v>
      </c>
      <c r="AP14" s="29">
        <v>105</v>
      </c>
    </row>
    <row r="15" ht="15" spans="2:42">
      <c r="B15" s="27">
        <v>455</v>
      </c>
      <c r="C15" s="28">
        <v>195</v>
      </c>
      <c r="D15" s="29">
        <v>155</v>
      </c>
      <c r="E15" s="30"/>
      <c r="F15" s="31"/>
      <c r="G15" s="28">
        <v>165</v>
      </c>
      <c r="H15" s="29">
        <v>125</v>
      </c>
      <c r="I15" s="30"/>
      <c r="J15" s="31"/>
      <c r="K15" s="28">
        <v>135</v>
      </c>
      <c r="L15" s="29">
        <v>95</v>
      </c>
      <c r="N15">
        <v>60</v>
      </c>
      <c r="R15" s="27">
        <v>455</v>
      </c>
      <c r="S15" s="18">
        <f t="shared" si="3"/>
        <v>890</v>
      </c>
      <c r="T15" s="18">
        <f t="shared" si="4"/>
        <v>850</v>
      </c>
      <c r="U15" s="18">
        <f t="shared" si="3"/>
        <v>435</v>
      </c>
      <c r="V15" s="18">
        <f t="shared" si="5"/>
        <v>395</v>
      </c>
      <c r="W15" s="18">
        <f t="shared" si="6"/>
        <v>405</v>
      </c>
      <c r="X15" s="18">
        <f t="shared" si="7"/>
        <v>365</v>
      </c>
      <c r="Y15" s="18">
        <f t="shared" si="0"/>
        <v>375</v>
      </c>
      <c r="Z15" s="18">
        <f t="shared" si="8"/>
        <v>335</v>
      </c>
      <c r="AA15" s="18">
        <f t="shared" si="9"/>
        <v>345</v>
      </c>
      <c r="AB15" s="18">
        <f t="shared" si="10"/>
        <v>305</v>
      </c>
      <c r="AC15" s="18">
        <f t="shared" si="1"/>
        <v>315</v>
      </c>
      <c r="AD15" s="18">
        <f t="shared" si="11"/>
        <v>275</v>
      </c>
      <c r="AE15" s="18">
        <f t="shared" si="12"/>
        <v>285</v>
      </c>
      <c r="AF15" s="18">
        <f t="shared" si="13"/>
        <v>245</v>
      </c>
      <c r="AG15" s="18">
        <f t="shared" si="2"/>
        <v>255</v>
      </c>
      <c r="AH15" s="18">
        <f t="shared" si="14"/>
        <v>215</v>
      </c>
      <c r="AI15" s="18">
        <f t="shared" si="15"/>
        <v>225</v>
      </c>
      <c r="AJ15" s="18">
        <f t="shared" si="16"/>
        <v>185</v>
      </c>
      <c r="AK15" s="28">
        <v>195</v>
      </c>
      <c r="AL15" s="29">
        <v>155</v>
      </c>
      <c r="AM15" s="28">
        <v>165</v>
      </c>
      <c r="AN15" s="29">
        <v>125</v>
      </c>
      <c r="AO15" s="28">
        <v>135</v>
      </c>
      <c r="AP15" s="29">
        <v>95</v>
      </c>
    </row>
    <row r="16" ht="15" spans="2:42">
      <c r="B16" s="27">
        <v>470</v>
      </c>
      <c r="C16" s="28">
        <v>180</v>
      </c>
      <c r="D16" s="29">
        <v>140</v>
      </c>
      <c r="E16" s="30"/>
      <c r="F16" s="31"/>
      <c r="G16" s="28">
        <v>150</v>
      </c>
      <c r="H16" s="29">
        <v>110</v>
      </c>
      <c r="I16" s="30"/>
      <c r="J16" s="31"/>
      <c r="K16" s="28">
        <v>120</v>
      </c>
      <c r="L16" s="29">
        <v>80</v>
      </c>
      <c r="N16">
        <v>63</v>
      </c>
      <c r="R16" s="27">
        <v>470</v>
      </c>
      <c r="S16" s="18">
        <f t="shared" si="3"/>
        <v>890</v>
      </c>
      <c r="T16" s="18">
        <f t="shared" si="4"/>
        <v>850</v>
      </c>
      <c r="U16" s="18">
        <f t="shared" si="3"/>
        <v>420</v>
      </c>
      <c r="V16" s="18">
        <f t="shared" si="5"/>
        <v>380</v>
      </c>
      <c r="W16" s="18">
        <f t="shared" si="6"/>
        <v>390</v>
      </c>
      <c r="X16" s="18">
        <f t="shared" si="7"/>
        <v>350</v>
      </c>
      <c r="Y16" s="18">
        <f t="shared" si="0"/>
        <v>360</v>
      </c>
      <c r="Z16" s="18">
        <f t="shared" si="8"/>
        <v>320</v>
      </c>
      <c r="AA16" s="18">
        <f t="shared" si="9"/>
        <v>330</v>
      </c>
      <c r="AB16" s="18">
        <f t="shared" si="10"/>
        <v>290</v>
      </c>
      <c r="AC16" s="18">
        <f t="shared" si="1"/>
        <v>300</v>
      </c>
      <c r="AD16" s="18">
        <f t="shared" si="11"/>
        <v>260</v>
      </c>
      <c r="AE16" s="18">
        <f t="shared" si="12"/>
        <v>270</v>
      </c>
      <c r="AF16" s="18">
        <f t="shared" si="13"/>
        <v>230</v>
      </c>
      <c r="AG16" s="18">
        <f t="shared" si="2"/>
        <v>240</v>
      </c>
      <c r="AH16" s="18">
        <f t="shared" si="14"/>
        <v>200</v>
      </c>
      <c r="AI16" s="18">
        <f t="shared" si="15"/>
        <v>210</v>
      </c>
      <c r="AJ16" s="18">
        <f t="shared" si="16"/>
        <v>170</v>
      </c>
      <c r="AK16" s="28">
        <v>180</v>
      </c>
      <c r="AL16" s="29">
        <v>140</v>
      </c>
      <c r="AM16" s="28">
        <v>150</v>
      </c>
      <c r="AN16" s="29">
        <v>110</v>
      </c>
      <c r="AO16" s="28">
        <v>120</v>
      </c>
      <c r="AP16" s="29">
        <v>80</v>
      </c>
    </row>
    <row r="17" ht="15" spans="1:42">
      <c r="B17" s="27">
        <v>520</v>
      </c>
      <c r="C17" s="28">
        <v>130</v>
      </c>
      <c r="D17" s="29">
        <v>90</v>
      </c>
      <c r="E17" s="20"/>
      <c r="F17" s="31"/>
      <c r="G17" s="28">
        <v>100</v>
      </c>
      <c r="H17" s="29">
        <v>60</v>
      </c>
      <c r="I17" s="20"/>
      <c r="J17" s="31"/>
      <c r="K17" s="28">
        <v>70</v>
      </c>
      <c r="L17" s="29">
        <v>30</v>
      </c>
      <c r="N17">
        <v>68</v>
      </c>
      <c r="R17" s="27">
        <v>520</v>
      </c>
      <c r="S17" s="18">
        <f t="shared" si="3"/>
        <v>890</v>
      </c>
      <c r="T17" s="18">
        <f t="shared" si="4"/>
        <v>850</v>
      </c>
      <c r="U17" s="18">
        <f t="shared" si="3"/>
        <v>370</v>
      </c>
      <c r="V17" s="18">
        <f t="shared" si="5"/>
        <v>330</v>
      </c>
      <c r="W17" s="18">
        <f t="shared" si="6"/>
        <v>340</v>
      </c>
      <c r="X17" s="18">
        <f t="shared" si="7"/>
        <v>300</v>
      </c>
      <c r="Y17" s="18">
        <f t="shared" si="0"/>
        <v>310</v>
      </c>
      <c r="Z17" s="18">
        <f t="shared" si="8"/>
        <v>270</v>
      </c>
      <c r="AA17" s="18">
        <f t="shared" si="9"/>
        <v>280</v>
      </c>
      <c r="AB17" s="18">
        <f t="shared" si="10"/>
        <v>240</v>
      </c>
      <c r="AC17" s="18">
        <f t="shared" si="1"/>
        <v>250</v>
      </c>
      <c r="AD17" s="18">
        <f t="shared" si="11"/>
        <v>210</v>
      </c>
      <c r="AE17" s="18">
        <f t="shared" si="12"/>
        <v>220</v>
      </c>
      <c r="AF17" s="18">
        <f t="shared" si="13"/>
        <v>180</v>
      </c>
      <c r="AG17" s="18">
        <f t="shared" si="2"/>
        <v>190</v>
      </c>
      <c r="AH17" s="18">
        <f t="shared" si="14"/>
        <v>150</v>
      </c>
      <c r="AI17" s="18">
        <f t="shared" si="15"/>
        <v>160</v>
      </c>
      <c r="AJ17" s="18">
        <f t="shared" si="16"/>
        <v>120</v>
      </c>
      <c r="AK17" s="28">
        <v>130</v>
      </c>
      <c r="AL17" s="29">
        <v>90</v>
      </c>
      <c r="AM17" s="28">
        <v>100</v>
      </c>
      <c r="AN17" s="29">
        <v>60</v>
      </c>
      <c r="AO17" s="28">
        <v>70</v>
      </c>
      <c r="AP17" s="29">
        <v>30</v>
      </c>
    </row>
    <row r="18" ht="13.5" spans="1:42">
      <c r="N18">
        <v>70</v>
      </c>
    </row>
    <row r="19" ht="13.5" spans="1:42">
      <c r="A19" s="32" t="s">
        <v>784</v>
      </c>
      <c r="C19" s="33">
        <v>910</v>
      </c>
      <c r="D19" s="34"/>
      <c r="E19" s="35">
        <v>550</v>
      </c>
      <c r="G19" s="32" t="s">
        <v>785</v>
      </c>
      <c r="I19" s="33">
        <v>650</v>
      </c>
      <c r="J19" s="34"/>
      <c r="K19" s="35">
        <v>550</v>
      </c>
      <c r="N19">
        <v>73</v>
      </c>
    </row>
    <row r="20" ht="15" spans="1:42">
      <c r="A20" s="32" t="s">
        <v>786</v>
      </c>
      <c r="C20" s="10" t="s">
        <v>41</v>
      </c>
      <c r="E20" s="10" t="s">
        <v>40</v>
      </c>
      <c r="G20" s="32" t="s">
        <v>787</v>
      </c>
      <c r="I20" s="7" t="s">
        <v>41</v>
      </c>
      <c r="J20" s="36"/>
      <c r="K20" s="37" t="s">
        <v>40</v>
      </c>
      <c r="N20">
        <v>76</v>
      </c>
    </row>
    <row r="21" ht="14.25" spans="1:42">
      <c r="B21" s="38">
        <v>360</v>
      </c>
      <c r="C21" s="39">
        <f>$C$19-B21</f>
        <v>550</v>
      </c>
      <c r="D21" s="40">
        <v>360</v>
      </c>
      <c r="E21" s="39">
        <v>190</v>
      </c>
      <c r="H21" s="38">
        <v>360</v>
      </c>
      <c r="I21" s="41">
        <f>$I$19-H21</f>
        <v>290</v>
      </c>
      <c r="J21" s="42">
        <v>360</v>
      </c>
      <c r="K21" s="43">
        <v>190</v>
      </c>
      <c r="N21">
        <v>83</v>
      </c>
    </row>
    <row r="22" ht="14.25" spans="1:42">
      <c r="A22" s="44">
        <v>220</v>
      </c>
      <c r="B22" s="27">
        <v>365</v>
      </c>
      <c r="C22" s="30">
        <f t="shared" ref="C22:C30" si="17">$C$19-B22</f>
        <v>545</v>
      </c>
      <c r="D22" s="45">
        <v>365</v>
      </c>
      <c r="E22" s="30">
        <v>185</v>
      </c>
      <c r="G22" s="44" t="s">
        <v>788</v>
      </c>
      <c r="H22" s="27">
        <v>365</v>
      </c>
      <c r="I22" s="46">
        <f t="shared" ref="I22:I30" si="18">$I$19-H22</f>
        <v>285</v>
      </c>
      <c r="J22" s="47">
        <v>365</v>
      </c>
      <c r="K22" s="48">
        <v>185</v>
      </c>
      <c r="N22">
        <v>89</v>
      </c>
    </row>
    <row r="23" ht="14.25" spans="1:42">
      <c r="A23" s="44">
        <v>270</v>
      </c>
      <c r="B23" s="27">
        <v>410</v>
      </c>
      <c r="C23" s="30">
        <f t="shared" si="17"/>
        <v>500</v>
      </c>
      <c r="D23" s="45">
        <v>410</v>
      </c>
      <c r="E23" s="30">
        <v>140</v>
      </c>
      <c r="G23" s="44" t="s">
        <v>789</v>
      </c>
      <c r="H23" s="27">
        <v>410</v>
      </c>
      <c r="I23" s="46">
        <f t="shared" si="18"/>
        <v>240</v>
      </c>
      <c r="J23" s="47">
        <v>410</v>
      </c>
      <c r="K23" s="48">
        <v>140</v>
      </c>
      <c r="N23">
        <v>95</v>
      </c>
    </row>
    <row r="24" ht="14.25" spans="1:42">
      <c r="A24" s="44">
        <v>360</v>
      </c>
      <c r="B24" s="27">
        <v>430</v>
      </c>
      <c r="C24" s="30">
        <f t="shared" si="17"/>
        <v>480</v>
      </c>
      <c r="D24" s="45">
        <v>430</v>
      </c>
      <c r="E24" s="30">
        <v>120</v>
      </c>
      <c r="G24" s="44" t="s">
        <v>790</v>
      </c>
      <c r="H24" s="27">
        <v>430</v>
      </c>
      <c r="I24" s="46">
        <f t="shared" si="18"/>
        <v>220</v>
      </c>
      <c r="J24" s="47">
        <v>430</v>
      </c>
      <c r="K24" s="48">
        <v>120</v>
      </c>
      <c r="N24">
        <v>102</v>
      </c>
    </row>
    <row r="25" ht="14.25" spans="1:42">
      <c r="A25" s="44">
        <v>420</v>
      </c>
      <c r="B25" s="27">
        <v>435</v>
      </c>
      <c r="C25" s="30">
        <f t="shared" si="17"/>
        <v>475</v>
      </c>
      <c r="D25" s="45">
        <v>435</v>
      </c>
      <c r="E25" s="30">
        <v>115</v>
      </c>
      <c r="G25" s="44" t="s">
        <v>791</v>
      </c>
      <c r="H25" s="27">
        <v>435</v>
      </c>
      <c r="I25" s="46">
        <f t="shared" si="18"/>
        <v>215</v>
      </c>
      <c r="J25" s="47">
        <v>435</v>
      </c>
      <c r="K25" s="48">
        <v>115</v>
      </c>
      <c r="N25">
        <v>108</v>
      </c>
    </row>
    <row r="26" ht="14.25" spans="1:42">
      <c r="A26" s="44"/>
      <c r="B26" s="27">
        <v>440</v>
      </c>
      <c r="C26" s="30">
        <f t="shared" si="17"/>
        <v>470</v>
      </c>
      <c r="D26" s="45">
        <v>440</v>
      </c>
      <c r="E26" s="30">
        <v>110</v>
      </c>
      <c r="H26" s="27">
        <v>440</v>
      </c>
      <c r="I26" s="46">
        <f t="shared" si="18"/>
        <v>210</v>
      </c>
      <c r="J26" s="47">
        <v>440</v>
      </c>
      <c r="K26" s="48">
        <v>110</v>
      </c>
      <c r="N26">
        <v>114</v>
      </c>
    </row>
    <row r="27" ht="14.25" spans="1:42">
      <c r="B27" s="27">
        <v>445</v>
      </c>
      <c r="C27" s="30">
        <f t="shared" si="17"/>
        <v>465</v>
      </c>
      <c r="D27" s="45">
        <v>445</v>
      </c>
      <c r="E27" s="30">
        <v>105</v>
      </c>
      <c r="H27" s="27">
        <v>445</v>
      </c>
      <c r="I27" s="46">
        <f t="shared" si="18"/>
        <v>205</v>
      </c>
      <c r="J27" s="47">
        <v>445</v>
      </c>
      <c r="K27" s="48">
        <v>105</v>
      </c>
      <c r="N27">
        <v>121</v>
      </c>
    </row>
    <row r="28" ht="14.25" spans="1:42">
      <c r="B28" s="27">
        <v>455</v>
      </c>
      <c r="C28" s="30">
        <f t="shared" si="17"/>
        <v>455</v>
      </c>
      <c r="D28" s="45">
        <v>455</v>
      </c>
      <c r="E28" s="30">
        <v>95</v>
      </c>
      <c r="H28" s="27">
        <v>455</v>
      </c>
      <c r="I28" s="46">
        <f t="shared" si="18"/>
        <v>195</v>
      </c>
      <c r="J28" s="47">
        <v>455</v>
      </c>
      <c r="K28" s="48">
        <v>95</v>
      </c>
      <c r="N28">
        <v>127</v>
      </c>
    </row>
    <row r="29" ht="14.25" spans="1:42">
      <c r="B29" s="27">
        <v>470</v>
      </c>
      <c r="C29" s="30">
        <f t="shared" si="17"/>
        <v>440</v>
      </c>
      <c r="D29" s="45">
        <v>470</v>
      </c>
      <c r="E29" s="30">
        <v>80</v>
      </c>
      <c r="H29" s="27">
        <v>470</v>
      </c>
      <c r="I29" s="46">
        <f t="shared" si="18"/>
        <v>180</v>
      </c>
      <c r="J29" s="47">
        <v>470</v>
      </c>
      <c r="K29" s="48">
        <v>80</v>
      </c>
      <c r="N29">
        <v>133</v>
      </c>
    </row>
    <row r="30" ht="15" spans="1:42">
      <c r="B30" s="17">
        <v>520</v>
      </c>
      <c r="C30" s="20">
        <f t="shared" si="17"/>
        <v>390</v>
      </c>
      <c r="D30" s="49">
        <v>520</v>
      </c>
      <c r="E30" s="20">
        <v>30</v>
      </c>
      <c r="H30" s="17">
        <v>520</v>
      </c>
      <c r="I30" s="50">
        <f t="shared" si="18"/>
        <v>130</v>
      </c>
      <c r="J30" s="51">
        <v>520</v>
      </c>
      <c r="K30" s="52">
        <v>30</v>
      </c>
      <c r="N30">
        <v>140</v>
      </c>
    </row>
    <row r="31" spans="1:42">
      <c r="N31">
        <v>146</v>
      </c>
    </row>
    <row r="32" spans="1:42">
      <c r="N32">
        <v>152</v>
      </c>
    </row>
    <row r="33" spans="14:14">
      <c r="N33">
        <v>159</v>
      </c>
    </row>
    <row r="34" spans="14:14">
      <c r="N34">
        <v>168</v>
      </c>
    </row>
    <row r="35" spans="14:14">
      <c r="N35">
        <v>178</v>
      </c>
    </row>
    <row r="36" spans="14:14">
      <c r="N36">
        <v>180</v>
      </c>
    </row>
    <row r="37" spans="14:14">
      <c r="N37">
        <v>194</v>
      </c>
    </row>
    <row r="38" spans="14:14">
      <c r="N38">
        <v>203</v>
      </c>
    </row>
    <row r="39" spans="14:14">
      <c r="N39">
        <v>219</v>
      </c>
    </row>
    <row r="40" spans="14:14">
      <c r="N40">
        <v>245</v>
      </c>
    </row>
    <row r="41" spans="14:14">
      <c r="N41">
        <v>273</v>
      </c>
    </row>
    <row r="42" spans="14:14">
      <c r="N42">
        <v>299</v>
      </c>
    </row>
    <row r="43" spans="14:14">
      <c r="N43">
        <v>325</v>
      </c>
    </row>
    <row r="44" spans="14:14">
      <c r="N44">
        <v>351</v>
      </c>
    </row>
    <row r="45" spans="14:14">
      <c r="N45">
        <v>377</v>
      </c>
    </row>
    <row r="46" spans="14:14">
      <c r="N46">
        <v>402</v>
      </c>
    </row>
    <row r="47" spans="14:14">
      <c r="N47">
        <v>408</v>
      </c>
    </row>
    <row r="48" spans="14:14">
      <c r="N48">
        <v>426</v>
      </c>
    </row>
    <row r="49" spans="14:14">
      <c r="N49">
        <v>480</v>
      </c>
    </row>
    <row r="50" spans="14:14">
      <c r="N50">
        <v>494</v>
      </c>
    </row>
  </sheetData>
  <pageMargins left="0.708661417322835" right="0.708661417322835" top="0.748031496062992" bottom="0.748031496062992" header="0.31496062992126" footer="0.31496062992126"/>
  <pageSetup paperSize="9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KIT</Company>
  <Application>Kingsoft Office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Карта н. для ц.</vt:lpstr>
      <vt:lpstr>Карта настройки</vt:lpstr>
      <vt:lpstr>1,273 - Коэфициент</vt:lpstr>
      <vt:lpstr>Коэф</vt:lpstr>
      <vt:lpstr>Осн.таблица</vt:lpstr>
      <vt:lpstr>ВНИТИ</vt:lpstr>
      <vt:lpstr>Расчётные данные</vt:lpstr>
      <vt:lpstr>Данные ВГ</vt:lpstr>
      <vt:lpstr>Данные ВВ</vt:lpstr>
      <vt:lpstr>Лист1</vt:lpstr>
      <vt:lpstr>Наст. эксц.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Jeny</dc:creator>
  <cp:lastModifiedBy>Serg Kekuh</cp:lastModifiedBy>
  <dcterms:created xsi:type="dcterms:W3CDTF">2005-10-13T03:15:00Z</dcterms:created>
  <dcterms:modified xsi:type="dcterms:W3CDTF">2026-09-23T15:00:37Z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3208b148-50c4-426c-a223-f8b91dd0aa31</vt:lpwstr>
  </property>
  <property fmtid="{D5CDD505-2E9C-101B-9397-08002B2CF9AE}" pid="3" name="ICV">
    <vt:lpwstr>6688A1A0B1F345A68AF6B3461AECC19F_12</vt:lpwstr>
  </property>
  <property fmtid="{D5CDD505-2E9C-101B-9397-08002B2CF9AE}" pid="4" name="KSOProductBuildVer">
    <vt:lpwstr>1049-12.1.0.28485</vt:lpwstr>
  </property>
  <property fmtid="{D5CDD505-2E9C-101B-9397-08002B2CF9AE}" pid="5" name="CalculationRule">
    <vt:i4>0</vt:i4>
  </property>
</Properties>
</file>